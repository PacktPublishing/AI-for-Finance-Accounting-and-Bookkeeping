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6D21518-2FCF-4896-9486-7544B3E013C7}" xr6:coauthVersionLast="47" xr6:coauthVersionMax="47" xr10:uidLastSave="{00000000-0000-0000-0000-000000000000}"/>
  <bookViews>
    <workbookView xWindow="1092" yWindow="96" windowWidth="22056" windowHeight="12960" xr2:uid="{00000000-000D-0000-FFFF-FFFF00000000}"/>
  </bookViews>
  <sheets>
    <sheet name="GL" sheetId="1" r:id="rId1"/>
    <sheet name="Expense analysis" sheetId="2" r:id="rId2"/>
    <sheet name="Revenue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B4" i="3"/>
  <c r="C3" i="3"/>
  <c r="B3" i="3"/>
  <c r="C2" i="3"/>
  <c r="B2" i="3"/>
  <c r="C17" i="2"/>
  <c r="B17" i="2"/>
  <c r="D17" i="2" s="1"/>
  <c r="C16" i="2"/>
  <c r="B16" i="2"/>
  <c r="C15" i="2"/>
  <c r="B15" i="2"/>
  <c r="C14" i="2"/>
  <c r="B14" i="2"/>
  <c r="C13" i="2"/>
  <c r="B13" i="2"/>
  <c r="D13" i="2" s="1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D6" i="2" s="1"/>
  <c r="C5" i="2"/>
  <c r="B5" i="2"/>
  <c r="C4" i="2"/>
  <c r="B4" i="2"/>
  <c r="C3" i="2"/>
  <c r="B3" i="2"/>
  <c r="C2" i="2"/>
  <c r="B2" i="2"/>
  <c r="D16" i="2" l="1"/>
  <c r="D4" i="2"/>
  <c r="D12" i="2"/>
  <c r="D4" i="3"/>
  <c r="D9" i="2"/>
  <c r="D10" i="2"/>
  <c r="D14" i="2"/>
  <c r="D2" i="3"/>
  <c r="D3" i="2"/>
  <c r="D7" i="2"/>
  <c r="D11" i="2"/>
  <c r="D15" i="2"/>
  <c r="D3" i="3"/>
  <c r="D2" i="2"/>
  <c r="D8" i="2"/>
  <c r="D5" i="2"/>
</calcChain>
</file>

<file path=xl/sharedStrings.xml><?xml version="1.0" encoding="utf-8"?>
<sst xmlns="http://schemas.openxmlformats.org/spreadsheetml/2006/main" count="1623" uniqueCount="404">
  <si>
    <t>Txn_ID</t>
  </si>
  <si>
    <t>Date</t>
  </si>
  <si>
    <t>Month</t>
  </si>
  <si>
    <t>City</t>
  </si>
  <si>
    <t>Region</t>
  </si>
  <si>
    <t>GL_Account</t>
  </si>
  <si>
    <t>GL_Category</t>
  </si>
  <si>
    <t>Memo</t>
  </si>
  <si>
    <t>Debit</t>
  </si>
  <si>
    <t>Credit</t>
  </si>
  <si>
    <t>Amount</t>
  </si>
  <si>
    <t>DC</t>
  </si>
  <si>
    <t>202512-0077</t>
  </si>
  <si>
    <t>2025-12</t>
  </si>
  <si>
    <t>Boston, MA</t>
  </si>
  <si>
    <t>New England</t>
  </si>
  <si>
    <t>COGS - Milk &amp; Dairy</t>
  </si>
  <si>
    <t>Cost of Goods Sold</t>
  </si>
  <si>
    <t>Fresh milk restock</t>
  </si>
  <si>
    <t>D</t>
  </si>
  <si>
    <t>202512-0042</t>
  </si>
  <si>
    <t>Sales Revenue - Cappuccino</t>
  </si>
  <si>
    <t>Revenue</t>
  </si>
  <si>
    <t>Daily POS sales batch - Cappuccino (250 cups @ $3.50)</t>
  </si>
  <si>
    <t>C</t>
  </si>
  <si>
    <t>202512-0069</t>
  </si>
  <si>
    <t>Portland, ME</t>
  </si>
  <si>
    <t>Marketing &amp; Promotions</t>
  </si>
  <si>
    <t>Operating</t>
  </si>
  <si>
    <t>Flyers &amp; promo printing</t>
  </si>
  <si>
    <t>202512-0073</t>
  </si>
  <si>
    <t>Pittsburgh, PA</t>
  </si>
  <si>
    <t>Mid Atlantic</t>
  </si>
  <si>
    <t>POS / Software Subscriptions</t>
  </si>
  <si>
    <t>Cloud POS monthly fee</t>
  </si>
  <si>
    <t>202512-0092</t>
  </si>
  <si>
    <t>Bank &amp; Card Processing Fees</t>
  </si>
  <si>
    <t>Merchant service fees</t>
  </si>
  <si>
    <t>202512-0013</t>
  </si>
  <si>
    <t>Buffalo, NY</t>
  </si>
  <si>
    <t>Sales Revenue - Mocha</t>
  </si>
  <si>
    <t>Daily POS sales batch - Mocha (254 cups @ $3.45)</t>
  </si>
  <si>
    <t>202512-0016</t>
  </si>
  <si>
    <t>New York, NY</t>
  </si>
  <si>
    <t>Sales Revenue - Espresso</t>
  </si>
  <si>
    <t>Daily POS sales batch - Espresso (206 cups @ $3.25)</t>
  </si>
  <si>
    <t>202512-0051</t>
  </si>
  <si>
    <t>Daily POS sales batch - Cappuccino (259 cups @ $3.50)</t>
  </si>
  <si>
    <t>202512-0052</t>
  </si>
  <si>
    <t>Newark, NJ</t>
  </si>
  <si>
    <t>Daily POS sales batch - Cappuccino (216 cups @ $3.50)</t>
  </si>
  <si>
    <t>202512-0071</t>
  </si>
  <si>
    <t>Office &amp; Admin Supplies</t>
  </si>
  <si>
    <t>Office supplies</t>
  </si>
  <si>
    <t>202512-0010</t>
  </si>
  <si>
    <t>Daily POS sales batch - Espresso (272 cups @ $3.25)</t>
  </si>
  <si>
    <t>202512-0056</t>
  </si>
  <si>
    <t>Daily POS sales batch - Espresso (295 cups @ $3.25)</t>
  </si>
  <si>
    <t>202512-0062</t>
  </si>
  <si>
    <t>Milk &amp; dairy purchase</t>
  </si>
  <si>
    <t>202512-0082</t>
  </si>
  <si>
    <t>Philadelphia, PA</t>
  </si>
  <si>
    <t>Payroll Taxes</t>
  </si>
  <si>
    <t>Payroll</t>
  </si>
  <si>
    <t>Employer payroll taxes</t>
  </si>
  <si>
    <t>202512-0090</t>
  </si>
  <si>
    <t>Providence, RI</t>
  </si>
  <si>
    <t>Local promo campaign</t>
  </si>
  <si>
    <t>202512-0030</t>
  </si>
  <si>
    <t>Daily POS sales batch - Espresso (222 cups @ $3.25)</t>
  </si>
  <si>
    <t>202512-0095</t>
  </si>
  <si>
    <t>Repairs &amp; Maintenance</t>
  </si>
  <si>
    <t>Repair &amp; maintenance - plumbing fix (work order #3900)</t>
  </si>
  <si>
    <t>202512-0045</t>
  </si>
  <si>
    <t>Daily POS sales batch - Cappuccino (151 cups @ $3.50)</t>
  </si>
  <si>
    <t>202512-0063</t>
  </si>
  <si>
    <t>Wages - Baristas</t>
  </si>
  <si>
    <t>Bi-weekly payroll</t>
  </si>
  <si>
    <t>202512-0070</t>
  </si>
  <si>
    <t>202512-0080</t>
  </si>
  <si>
    <t>Hartford, CT</t>
  </si>
  <si>
    <t>Delivery / Courier Fees</t>
  </si>
  <si>
    <t>Supply delivery fee</t>
  </si>
  <si>
    <t>202512-0006</t>
  </si>
  <si>
    <t>Daily POS sales batch - Mocha (225 cups @ $3.45)</t>
  </si>
  <si>
    <t>202512-0038</t>
  </si>
  <si>
    <t>Daily POS sales batch - Mocha (122 cups @ $3.45)</t>
  </si>
  <si>
    <t>202512-0078</t>
  </si>
  <si>
    <t>202512-0093</t>
  </si>
  <si>
    <t>Dairy supplier invoice</t>
  </si>
  <si>
    <t>202512-0002</t>
  </si>
  <si>
    <t>Daily POS sales batch - Mocha (231 cups @ $3.45)</t>
  </si>
  <si>
    <t>202512-0005</t>
  </si>
  <si>
    <t>202512-0028</t>
  </si>
  <si>
    <t>Daily POS sales batch - Mocha (262 cups @ $3.45)</t>
  </si>
  <si>
    <t>202512-0049</t>
  </si>
  <si>
    <t>Daily POS sales batch - Mocha (260 cups @ $3.45)</t>
  </si>
  <si>
    <t>202512-0017</t>
  </si>
  <si>
    <t>Daily POS sales batch - Cappuccino (179 cups @ $3.50)</t>
  </si>
  <si>
    <t>202512-0024</t>
  </si>
  <si>
    <t>Daily POS sales batch - Cappuccino (154 cups @ $3.50)</t>
  </si>
  <si>
    <t>202512-0026</t>
  </si>
  <si>
    <t>Daily POS sales batch - Mocha (246 cups @ $3.45)</t>
  </si>
  <si>
    <t>202512-0065</t>
  </si>
  <si>
    <t>Payroll tax deposit</t>
  </si>
  <si>
    <t>202512-0098</t>
  </si>
  <si>
    <t>Repair &amp; maintenance - woodwork repair (work order #1634)</t>
  </si>
  <si>
    <t>202512-0037</t>
  </si>
  <si>
    <t>Albany, NY</t>
  </si>
  <si>
    <t>Daily POS sales batch - Mocha (252 cups @ $3.45)</t>
  </si>
  <si>
    <t>202512-0047</t>
  </si>
  <si>
    <t>Daily POS sales batch - Espresso (212 cups @ $3.25)</t>
  </si>
  <si>
    <t>202512-0100</t>
  </si>
  <si>
    <t>Repair &amp; maintenance - plumbing fix (work order #1387)</t>
  </si>
  <si>
    <t>202512-0009</t>
  </si>
  <si>
    <t>Daily POS sales batch - Espresso (211 cups @ $3.25)</t>
  </si>
  <si>
    <t>202512-0022</t>
  </si>
  <si>
    <t>Daily POS sales batch - Cappuccino (226 cups @ $3.50)</t>
  </si>
  <si>
    <t>202512-0034</t>
  </si>
  <si>
    <t>Daily POS sales batch - Cappuccino (176 cups @ $3.50)</t>
  </si>
  <si>
    <t>202512-0018</t>
  </si>
  <si>
    <t>Daily POS sales batch - Mocha (258 cups @ $3.45)</t>
  </si>
  <si>
    <t>202512-0072</t>
  </si>
  <si>
    <t>202512-0004</t>
  </si>
  <si>
    <t>Daily POS sales batch - Cappuccino (331 cups @ $3.50)</t>
  </si>
  <si>
    <t>202512-0007</t>
  </si>
  <si>
    <t>Daily POS sales batch - Cappuccino (334 cups @ $3.50)</t>
  </si>
  <si>
    <t>202512-0057</t>
  </si>
  <si>
    <t>COGS - Coffee Beans</t>
  </si>
  <si>
    <t>Coffee beans restock</t>
  </si>
  <si>
    <t>202512-0021</t>
  </si>
  <si>
    <t>Daily POS sales batch - Mocha (327 cups @ $3.45)</t>
  </si>
  <si>
    <t>202512-0032</t>
  </si>
  <si>
    <t>Daily POS sales batch - Mocha (351 cups @ $3.45)</t>
  </si>
  <si>
    <t>202512-0035</t>
  </si>
  <si>
    <t>Daily POS sales batch - Mocha (289 cups @ $3.45)</t>
  </si>
  <si>
    <t>202512-0061</t>
  </si>
  <si>
    <t>Utilities - Water</t>
  </si>
  <si>
    <t>Occupancy</t>
  </si>
  <si>
    <t>Water usage charge</t>
  </si>
  <si>
    <t>202512-0089</t>
  </si>
  <si>
    <t>202512-0029</t>
  </si>
  <si>
    <t>Daily POS sales batch - Cappuccino (203 cups @ $3.50)</t>
  </si>
  <si>
    <t>202512-0067</t>
  </si>
  <si>
    <t>Weekly payroll run</t>
  </si>
  <si>
    <t>202512-0053</t>
  </si>
  <si>
    <t>Daily POS sales batch - Cappuccino (199 cups @ $3.50)</t>
  </si>
  <si>
    <t>202512-0081</t>
  </si>
  <si>
    <t>Bank charges</t>
  </si>
  <si>
    <t>202512-0050</t>
  </si>
  <si>
    <t>Daily POS sales batch - Cappuccino (134 cups @ $3.50)</t>
  </si>
  <si>
    <t>202512-0054</t>
  </si>
  <si>
    <t>Daily POS sales batch - Cappuccino (276 cups @ $3.50)</t>
  </si>
  <si>
    <t>202512-0060</t>
  </si>
  <si>
    <t>COGS - Cups/Lids/Napkins</t>
  </si>
  <si>
    <t>Cups &amp; lids restock</t>
  </si>
  <si>
    <t>202512-0027</t>
  </si>
  <si>
    <t>Daily POS sales batch - Espresso (170 cups @ $3.25)</t>
  </si>
  <si>
    <t>202512-0068</t>
  </si>
  <si>
    <t>Insurance Expense</t>
  </si>
  <si>
    <t>Liability insurance</t>
  </si>
  <si>
    <t>202512-0074</t>
  </si>
  <si>
    <t>Payroll disbursement</t>
  </si>
  <si>
    <t>202512-0031</t>
  </si>
  <si>
    <t>Daily POS sales batch - Mocha (203 cups @ $3.45)</t>
  </si>
  <si>
    <t>202512-0040</t>
  </si>
  <si>
    <t>Daily POS sales batch - Cappuccino (251 cups @ $3.50)</t>
  </si>
  <si>
    <t>202512-0084</t>
  </si>
  <si>
    <t>202512-0001</t>
  </si>
  <si>
    <t>Daily POS sales batch - Cappuccino (269 cups @ $3.50)</t>
  </si>
  <si>
    <t>202512-0020</t>
  </si>
  <si>
    <t>Daily POS sales batch - Cappuccino (155 cups @ $3.50)</t>
  </si>
  <si>
    <t>202512-0025</t>
  </si>
  <si>
    <t>Daily POS sales batch - Cappuccino (207 cups @ $3.50)</t>
  </si>
  <si>
    <t>202512-0058</t>
  </si>
  <si>
    <t>202512-0085</t>
  </si>
  <si>
    <t>Water utility invoice</t>
  </si>
  <si>
    <t>202512-0076</t>
  </si>
  <si>
    <t>Rent Expense</t>
  </si>
  <si>
    <t>Monthly store rent</t>
  </si>
  <si>
    <t>202512-0015</t>
  </si>
  <si>
    <t>Daily POS sales batch - Espresso (136 cups @ $3.25)</t>
  </si>
  <si>
    <t>202512-0066</t>
  </si>
  <si>
    <t>202512-0075</t>
  </si>
  <si>
    <t>Utilities - Electric/Gas</t>
  </si>
  <si>
    <t>Electric &amp; gas utility bill</t>
  </si>
  <si>
    <t>202512-0003</t>
  </si>
  <si>
    <t>Daily POS sales batch - Mocha (278 cups @ $3.45)</t>
  </si>
  <si>
    <t>202512-0012</t>
  </si>
  <si>
    <t>202512-0033</t>
  </si>
  <si>
    <t>Daily POS sales batch - Mocha (239 cups @ $3.45)</t>
  </si>
  <si>
    <t>202512-0043</t>
  </si>
  <si>
    <t>Daily POS sales batch - Mocha (233 cups @ $3.45)</t>
  </si>
  <si>
    <t>202512-0008</t>
  </si>
  <si>
    <t>Daily POS sales batch - Espresso (286 cups @ $3.25)</t>
  </si>
  <si>
    <t>202512-0036</t>
  </si>
  <si>
    <t>Daily POS sales batch - Mocha (166 cups @ $3.45)</t>
  </si>
  <si>
    <t>202512-0044</t>
  </si>
  <si>
    <t>Daily POS sales batch - Mocha (221 cups @ $3.45)</t>
  </si>
  <si>
    <t>202512-0088</t>
  </si>
  <si>
    <t>Napkins &amp; stirrers order</t>
  </si>
  <si>
    <t>202512-0094</t>
  </si>
  <si>
    <t>202512-0055</t>
  </si>
  <si>
    <t>Daily POS sales batch - Cappuccino (301 cups @ $3.50)</t>
  </si>
  <si>
    <t>202512-0059</t>
  </si>
  <si>
    <t>202512-0097</t>
  </si>
  <si>
    <t>Repair &amp; maintenance - ice machine tune-up (work order #5065)</t>
  </si>
  <si>
    <t>202512-0023</t>
  </si>
  <si>
    <t>Daily POS sales batch - Espresso (244 cups @ $3.25)</t>
  </si>
  <si>
    <t>202512-0091</t>
  </si>
  <si>
    <t>202512-0011</t>
  </si>
  <si>
    <t>Daily POS sales batch - Cappuccino (212 cups @ $3.50)</t>
  </si>
  <si>
    <t>202512-0099</t>
  </si>
  <si>
    <t>Repair &amp; maintenance - woodwork repair (work order #6728)</t>
  </si>
  <si>
    <t>202512-0014</t>
  </si>
  <si>
    <t>Daily POS sales batch - Cappuccino (125 cups @ $3.50)</t>
  </si>
  <si>
    <t>202512-0048</t>
  </si>
  <si>
    <t>Daily POS sales batch - Cappuccino (303 cups @ $3.50)</t>
  </si>
  <si>
    <t>202512-0064</t>
  </si>
  <si>
    <t>202512-0079</t>
  </si>
  <si>
    <t>Lease payment</t>
  </si>
  <si>
    <t>202512-0083</t>
  </si>
  <si>
    <t>202512-0086</t>
  </si>
  <si>
    <t>202512-0096</t>
  </si>
  <si>
    <t>Repair &amp; maintenance - ice machine tune-up (work order #6442)</t>
  </si>
  <si>
    <t>202512-0019</t>
  </si>
  <si>
    <t>Daily POS sales batch - Mocha (185 cups @ $3.45)</t>
  </si>
  <si>
    <t>202512-0041</t>
  </si>
  <si>
    <t>Daily POS sales batch - Cappuccino (284 cups @ $3.50)</t>
  </si>
  <si>
    <t>202512-0046</t>
  </si>
  <si>
    <t>Daily POS sales batch - Mocha (196 cups @ $3.45)</t>
  </si>
  <si>
    <t>202512-0039</t>
  </si>
  <si>
    <t>Daily POS sales batch - Cappuccino (160 cups @ $3.50)</t>
  </si>
  <si>
    <t>202601-0023</t>
  </si>
  <si>
    <t>2026-01</t>
  </si>
  <si>
    <t>Daily POS sales batch - Mocha (324 cups @ $3.45)</t>
  </si>
  <si>
    <t>202601-0048</t>
  </si>
  <si>
    <t>Daily POS sales batch - Mocha (160 cups @ $3.45)</t>
  </si>
  <si>
    <t>202601-0053</t>
  </si>
  <si>
    <t>202601-0038</t>
  </si>
  <si>
    <t>Daily POS sales batch - Espresso (220 cups @ $3.25)</t>
  </si>
  <si>
    <t>202601-0058</t>
  </si>
  <si>
    <t>Wholesale beans invoice</t>
  </si>
  <si>
    <t>202601-0082</t>
  </si>
  <si>
    <t>Business insurance premium</t>
  </si>
  <si>
    <t>202601-0004</t>
  </si>
  <si>
    <t>Daily POS sales batch - Cappuccino (191 cups @ $3.50)</t>
  </si>
  <si>
    <t>202601-0006</t>
  </si>
  <si>
    <t>Daily POS sales batch - Mocha (264 cups @ $3.45)</t>
  </si>
  <si>
    <t>202601-0092</t>
  </si>
  <si>
    <t>202601-0014</t>
  </si>
  <si>
    <t>Daily POS sales batch - Mocha (387 cups @ $3.45)</t>
  </si>
  <si>
    <t>202601-0027</t>
  </si>
  <si>
    <t>Daily POS sales batch - Cappuccino (180 cups @ $3.50)</t>
  </si>
  <si>
    <t>202601-0040</t>
  </si>
  <si>
    <t>202601-0049</t>
  </si>
  <si>
    <t>Daily POS sales batch - Mocha (271 cups @ $3.45)</t>
  </si>
  <si>
    <t>202601-0071</t>
  </si>
  <si>
    <t>Withholding remittance</t>
  </si>
  <si>
    <t>202601-0077</t>
  </si>
  <si>
    <t>Cleaning &amp; Sanitation</t>
  </si>
  <si>
    <t>Sanitation service</t>
  </si>
  <si>
    <t>202601-0041</t>
  </si>
  <si>
    <t>Daily POS sales batch - Espresso (253 cups @ $3.25)</t>
  </si>
  <si>
    <t>202601-0065</t>
  </si>
  <si>
    <t>202601-0060</t>
  </si>
  <si>
    <t>Courier charges</t>
  </si>
  <si>
    <t>202601-0075</t>
  </si>
  <si>
    <t>202601-0016</t>
  </si>
  <si>
    <t>Daily POS sales batch - Espresso (258 cups @ $3.25)</t>
  </si>
  <si>
    <t>202601-0017</t>
  </si>
  <si>
    <t>Daily POS sales batch - Espresso (237 cups @ $3.25)</t>
  </si>
  <si>
    <t>202601-0022</t>
  </si>
  <si>
    <t>Daily POS sales batch - Cappuccino (185 cups @ $3.50)</t>
  </si>
  <si>
    <t>202601-0083</t>
  </si>
  <si>
    <t>202601-0089</t>
  </si>
  <si>
    <t>202601-0011</t>
  </si>
  <si>
    <t>Daily POS sales batch - Mocha (124 cups @ $3.45)</t>
  </si>
  <si>
    <t>202601-0039</t>
  </si>
  <si>
    <t>Daily POS sales batch - Cappuccino (288 cups @ $3.50)</t>
  </si>
  <si>
    <t>202601-0078</t>
  </si>
  <si>
    <t>202601-0044</t>
  </si>
  <si>
    <t>Daily POS sales batch - Espresso (251 cups @ $3.25)</t>
  </si>
  <si>
    <t>202601-0076</t>
  </si>
  <si>
    <t>Admin stationery</t>
  </si>
  <si>
    <t>202601-0010</t>
  </si>
  <si>
    <t>Daily POS sales batch - Mocha (235 cups @ $3.45)</t>
  </si>
  <si>
    <t>202601-0013</t>
  </si>
  <si>
    <t>Daily POS sales batch - Mocha (243 cups @ $3.45)</t>
  </si>
  <si>
    <t>202601-0052</t>
  </si>
  <si>
    <t>Daily POS sales batch - Cappuccino (260 cups @ $3.50)</t>
  </si>
  <si>
    <t>202601-0080</t>
  </si>
  <si>
    <t>202601-0018</t>
  </si>
  <si>
    <t>Daily POS sales batch - Mocha (169 cups @ $3.45)</t>
  </si>
  <si>
    <t>202601-0030</t>
  </si>
  <si>
    <t>Daily POS sales batch - Mocha (209 cups @ $3.45)</t>
  </si>
  <si>
    <t>202601-0054</t>
  </si>
  <si>
    <t>202601-0061</t>
  </si>
  <si>
    <t>202601-0085</t>
  </si>
  <si>
    <t>202601-0019</t>
  </si>
  <si>
    <t>Daily POS sales batch - Cappuccino (308 cups @ $3.50)</t>
  </si>
  <si>
    <t>202601-0037</t>
  </si>
  <si>
    <t>Daily POS sales batch - Espresso (193 cups @ $3.25)</t>
  </si>
  <si>
    <t>202601-0047</t>
  </si>
  <si>
    <t>Daily POS sales batch - Espresso (165 cups @ $3.25)</t>
  </si>
  <si>
    <t>202601-0029</t>
  </si>
  <si>
    <t>Daily POS sales batch - Cappuccino (245 cups @ $3.50)</t>
  </si>
  <si>
    <t>202601-0031</t>
  </si>
  <si>
    <t>Daily POS sales batch - Espresso (146 cups @ $3.25)</t>
  </si>
  <si>
    <t>202601-0079</t>
  </si>
  <si>
    <t>202601-0084</t>
  </si>
  <si>
    <t>Rent payment</t>
  </si>
  <si>
    <t>202601-0042</t>
  </si>
  <si>
    <t>Daily POS sales batch - Cappuccino (318 cups @ $3.50)</t>
  </si>
  <si>
    <t>202601-0050</t>
  </si>
  <si>
    <t>Daily POS sales batch - Mocha (257 cups @ $3.45)</t>
  </si>
  <si>
    <t>202601-0057</t>
  </si>
  <si>
    <t>202601-0091</t>
  </si>
  <si>
    <t>Software tools subscription</t>
  </si>
  <si>
    <t>202601-0005</t>
  </si>
  <si>
    <t>Daily POS sales batch - Cappuccino (230 cups @ $3.50)</t>
  </si>
  <si>
    <t>202601-0051</t>
  </si>
  <si>
    <t>Daily POS sales batch - Mocha (255 cups @ $3.45)</t>
  </si>
  <si>
    <t>202601-0064</t>
  </si>
  <si>
    <t>Gas utility invoice</t>
  </si>
  <si>
    <t>202601-0062</t>
  </si>
  <si>
    <t>202601-0003</t>
  </si>
  <si>
    <t>Daily POS sales batch - Cappuccino (219 cups @ $3.50)</t>
  </si>
  <si>
    <t>202601-0081</t>
  </si>
  <si>
    <t>Cleaning supplies &amp; service</t>
  </si>
  <si>
    <t>202601-0001</t>
  </si>
  <si>
    <t>Daily POS sales batch - Espresso (155 cups @ $3.25)</t>
  </si>
  <si>
    <t>202601-0020</t>
  </si>
  <si>
    <t>Daily POS sales batch - Cappuccino (285 cups @ $3.50)</t>
  </si>
  <si>
    <t>202601-0009</t>
  </si>
  <si>
    <t>Daily POS sales batch - Espresso (255 cups @ $3.25)</t>
  </si>
  <si>
    <t>202601-0026</t>
  </si>
  <si>
    <t>Daily POS sales batch - Cappuccino (371 cups @ $3.50)</t>
  </si>
  <si>
    <t>202601-0090</t>
  </si>
  <si>
    <t>202601-0097</t>
  </si>
  <si>
    <t>Repair &amp; maintenance - AC service (work order #7818)</t>
  </si>
  <si>
    <t>202601-0015</t>
  </si>
  <si>
    <t>Daily POS sales batch - Mocha (228 cups @ $3.45)</t>
  </si>
  <si>
    <t>202601-0035</t>
  </si>
  <si>
    <t>Daily POS sales batch - Espresso (184 cups @ $3.25)</t>
  </si>
  <si>
    <t>202601-0046</t>
  </si>
  <si>
    <t>Daily POS sales batch - Cappuccino (286 cups @ $3.50)</t>
  </si>
  <si>
    <t>202601-0086</t>
  </si>
  <si>
    <t>Insurance installment</t>
  </si>
  <si>
    <t>202601-0088</t>
  </si>
  <si>
    <t>202601-0096</t>
  </si>
  <si>
    <t>Repair &amp; maintenance - AC service (work order #5978)</t>
  </si>
  <si>
    <t>202601-0028</t>
  </si>
  <si>
    <t>Daily POS sales batch - Mocha (206 cups @ $3.45)</t>
  </si>
  <si>
    <t>202601-0036</t>
  </si>
  <si>
    <t>Daily POS sales batch - Mocha (332 cups @ $3.45)</t>
  </si>
  <si>
    <t>202601-0045</t>
  </si>
  <si>
    <t>202601-0055</t>
  </si>
  <si>
    <t>Daily POS sales batch - Espresso (257 cups @ $3.25)</t>
  </si>
  <si>
    <t>202601-0066</t>
  </si>
  <si>
    <t>Cleaning contractor invoice</t>
  </si>
  <si>
    <t>202601-0007</t>
  </si>
  <si>
    <t>Daily POS sales batch - Espresso (353 cups @ $3.25)</t>
  </si>
  <si>
    <t>202601-0067</t>
  </si>
  <si>
    <t>202601-0072</t>
  </si>
  <si>
    <t>202601-0100</t>
  </si>
  <si>
    <t>Repair &amp; maintenance - AC service (work order #6003)</t>
  </si>
  <si>
    <t>202601-0021</t>
  </si>
  <si>
    <t>Daily POS sales batch - Mocha (287 cups @ $3.45)</t>
  </si>
  <si>
    <t>202601-0033</t>
  </si>
  <si>
    <t>Daily POS sales batch - Espresso (176 cups @ $3.25)</t>
  </si>
  <si>
    <t>202601-0034</t>
  </si>
  <si>
    <t>Daily POS sales batch - Cappuccino (268 cups @ $3.50)</t>
  </si>
  <si>
    <t>202601-0043</t>
  </si>
  <si>
    <t>Daily POS sales batch - Mocha (143 cups @ $3.45)</t>
  </si>
  <si>
    <t>202601-0056</t>
  </si>
  <si>
    <t>Daily POS sales batch - Mocha (197 cups @ $3.45)</t>
  </si>
  <si>
    <t>202601-0069</t>
  </si>
  <si>
    <t>202601-0073</t>
  </si>
  <si>
    <t>202601-0074</t>
  </si>
  <si>
    <t>202601-0002</t>
  </si>
  <si>
    <t>Daily POS sales batch - Espresso (214 cups @ $3.25)</t>
  </si>
  <si>
    <t>202601-0024</t>
  </si>
  <si>
    <t>202601-0095</t>
  </si>
  <si>
    <t>Repair &amp; maintenance - AC service (work order #1878)</t>
  </si>
  <si>
    <t>202601-0008</t>
  </si>
  <si>
    <t>202601-0012</t>
  </si>
  <si>
    <t>Daily POS sales batch - Mocha (238 cups @ $3.45)</t>
  </si>
  <si>
    <t>202601-0025</t>
  </si>
  <si>
    <t>Daily POS sales batch - Mocha (275 cups @ $3.45)</t>
  </si>
  <si>
    <t>202601-0070</t>
  </si>
  <si>
    <t>202601-0099</t>
  </si>
  <si>
    <t>Repair &amp; maintenance - AC service (work order #8253)</t>
  </si>
  <si>
    <t>202601-0032</t>
  </si>
  <si>
    <t>Daily POS sales batch - Mocha (244 cups @ $3.45)</t>
  </si>
  <si>
    <t>202601-0059</t>
  </si>
  <si>
    <t>202601-0063</t>
  </si>
  <si>
    <t>202601-0087</t>
  </si>
  <si>
    <t>202601-0094</t>
  </si>
  <si>
    <t>202601-0098</t>
  </si>
  <si>
    <t>Repair &amp; maintenance - door/hinge adjustment (work order #4697)</t>
  </si>
  <si>
    <t>Value for Dec 2025</t>
  </si>
  <si>
    <t>Value for Jan 2026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</si>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</sst>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topLeftCell="A181" workbookViewId="0">
      <selection activeCell="H205" sqref="H205"/>
    </sheetView>
  </sheetViews>
  <sheetFormatPr defaultRowHeight="14.4" x14ac:dyDescent="0.3"/>
  <cols>
    <col min="2" max="2" width="18.109375" bestFit="1" customWidth="1"/>
    <col min="4" max="4" width="13.88671875" bestFit="1" customWidth="1"/>
    <col min="5" max="5" width="11.5546875" bestFit="1" customWidth="1"/>
    <col min="6" max="6" width="24.77734375" bestFit="1" customWidth="1"/>
    <col min="7" max="7" width="16.5546875" bestFit="1" customWidth="1"/>
    <col min="8" max="8" width="56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45992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710.97</v>
      </c>
      <c r="J2">
        <v>0</v>
      </c>
      <c r="K2">
        <v>710.97</v>
      </c>
      <c r="L2" t="s">
        <v>19</v>
      </c>
    </row>
    <row r="3" spans="1:12" x14ac:dyDescent="0.3">
      <c r="A3" t="s">
        <v>20</v>
      </c>
      <c r="B3" s="2">
        <v>45993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 t="s">
        <v>23</v>
      </c>
      <c r="I3">
        <v>0</v>
      </c>
      <c r="J3">
        <v>875</v>
      </c>
      <c r="K3">
        <v>875</v>
      </c>
      <c r="L3" t="s">
        <v>24</v>
      </c>
    </row>
    <row r="4" spans="1:12" x14ac:dyDescent="0.3">
      <c r="A4" t="s">
        <v>25</v>
      </c>
      <c r="B4" s="2">
        <v>45993</v>
      </c>
      <c r="C4" t="s">
        <v>13</v>
      </c>
      <c r="D4" t="s">
        <v>26</v>
      </c>
      <c r="E4" t="s">
        <v>15</v>
      </c>
      <c r="F4" t="s">
        <v>27</v>
      </c>
      <c r="G4" t="s">
        <v>28</v>
      </c>
      <c r="H4" t="s">
        <v>29</v>
      </c>
      <c r="I4">
        <v>383.43</v>
      </c>
      <c r="J4">
        <v>0</v>
      </c>
      <c r="K4">
        <v>383.43</v>
      </c>
      <c r="L4" t="s">
        <v>19</v>
      </c>
    </row>
    <row r="5" spans="1:12" x14ac:dyDescent="0.3">
      <c r="A5" t="s">
        <v>30</v>
      </c>
      <c r="B5" s="2">
        <v>45993</v>
      </c>
      <c r="C5" t="s">
        <v>13</v>
      </c>
      <c r="D5" t="s">
        <v>31</v>
      </c>
      <c r="E5" t="s">
        <v>32</v>
      </c>
      <c r="F5" t="s">
        <v>33</v>
      </c>
      <c r="G5" t="s">
        <v>28</v>
      </c>
      <c r="H5" t="s">
        <v>34</v>
      </c>
      <c r="I5">
        <v>188.77</v>
      </c>
      <c r="J5">
        <v>0</v>
      </c>
      <c r="K5">
        <v>188.77</v>
      </c>
      <c r="L5" t="s">
        <v>19</v>
      </c>
    </row>
    <row r="6" spans="1:12" x14ac:dyDescent="0.3">
      <c r="A6" t="s">
        <v>35</v>
      </c>
      <c r="B6" s="2">
        <v>45993</v>
      </c>
      <c r="C6" t="s">
        <v>13</v>
      </c>
      <c r="D6" t="s">
        <v>14</v>
      </c>
      <c r="E6" t="s">
        <v>15</v>
      </c>
      <c r="F6" t="s">
        <v>36</v>
      </c>
      <c r="G6" t="s">
        <v>28</v>
      </c>
      <c r="H6" t="s">
        <v>37</v>
      </c>
      <c r="I6">
        <v>364.05</v>
      </c>
      <c r="J6">
        <v>0</v>
      </c>
      <c r="K6">
        <v>364.05</v>
      </c>
      <c r="L6" t="s">
        <v>19</v>
      </c>
    </row>
    <row r="7" spans="1:12" x14ac:dyDescent="0.3">
      <c r="A7" t="s">
        <v>38</v>
      </c>
      <c r="B7" s="2">
        <v>45994</v>
      </c>
      <c r="C7" t="s">
        <v>13</v>
      </c>
      <c r="D7" t="s">
        <v>39</v>
      </c>
      <c r="E7" t="s">
        <v>32</v>
      </c>
      <c r="F7" t="s">
        <v>40</v>
      </c>
      <c r="G7" t="s">
        <v>22</v>
      </c>
      <c r="H7" t="s">
        <v>41</v>
      </c>
      <c r="I7">
        <v>0</v>
      </c>
      <c r="J7">
        <v>876.3</v>
      </c>
      <c r="K7">
        <v>876.3</v>
      </c>
      <c r="L7" t="s">
        <v>24</v>
      </c>
    </row>
    <row r="8" spans="1:12" x14ac:dyDescent="0.3">
      <c r="A8" t="s">
        <v>42</v>
      </c>
      <c r="B8" s="2">
        <v>45994</v>
      </c>
      <c r="C8" t="s">
        <v>13</v>
      </c>
      <c r="D8" t="s">
        <v>43</v>
      </c>
      <c r="E8" t="s">
        <v>32</v>
      </c>
      <c r="F8" t="s">
        <v>44</v>
      </c>
      <c r="G8" t="s">
        <v>22</v>
      </c>
      <c r="H8" t="s">
        <v>45</v>
      </c>
      <c r="I8">
        <v>0</v>
      </c>
      <c r="J8">
        <v>669.5</v>
      </c>
      <c r="K8">
        <v>669.5</v>
      </c>
      <c r="L8" t="s">
        <v>24</v>
      </c>
    </row>
    <row r="9" spans="1:12" x14ac:dyDescent="0.3">
      <c r="A9" t="s">
        <v>46</v>
      </c>
      <c r="B9" s="2">
        <v>45994</v>
      </c>
      <c r="C9" t="s">
        <v>13</v>
      </c>
      <c r="D9" t="s">
        <v>43</v>
      </c>
      <c r="E9" t="s">
        <v>32</v>
      </c>
      <c r="F9" t="s">
        <v>21</v>
      </c>
      <c r="G9" t="s">
        <v>22</v>
      </c>
      <c r="H9" t="s">
        <v>47</v>
      </c>
      <c r="I9">
        <v>0</v>
      </c>
      <c r="J9">
        <v>906.5</v>
      </c>
      <c r="K9">
        <v>906.5</v>
      </c>
      <c r="L9" t="s">
        <v>24</v>
      </c>
    </row>
    <row r="10" spans="1:12" x14ac:dyDescent="0.3">
      <c r="A10" t="s">
        <v>48</v>
      </c>
      <c r="B10" s="2">
        <v>45994</v>
      </c>
      <c r="C10" t="s">
        <v>13</v>
      </c>
      <c r="D10" t="s">
        <v>49</v>
      </c>
      <c r="E10" t="s">
        <v>32</v>
      </c>
      <c r="F10" t="s">
        <v>21</v>
      </c>
      <c r="G10" t="s">
        <v>22</v>
      </c>
      <c r="H10" t="s">
        <v>50</v>
      </c>
      <c r="I10">
        <v>0</v>
      </c>
      <c r="J10">
        <v>756</v>
      </c>
      <c r="K10">
        <v>756</v>
      </c>
      <c r="L10" t="s">
        <v>24</v>
      </c>
    </row>
    <row r="11" spans="1:12" x14ac:dyDescent="0.3">
      <c r="A11" t="s">
        <v>51</v>
      </c>
      <c r="B11" s="2">
        <v>45994</v>
      </c>
      <c r="C11" t="s">
        <v>13</v>
      </c>
      <c r="D11" t="s">
        <v>39</v>
      </c>
      <c r="E11" t="s">
        <v>32</v>
      </c>
      <c r="F11" t="s">
        <v>52</v>
      </c>
      <c r="G11" t="s">
        <v>28</v>
      </c>
      <c r="H11" t="s">
        <v>53</v>
      </c>
      <c r="I11">
        <v>127.81</v>
      </c>
      <c r="J11">
        <v>0</v>
      </c>
      <c r="K11">
        <v>127.81</v>
      </c>
      <c r="L11" t="s">
        <v>19</v>
      </c>
    </row>
    <row r="12" spans="1:12" x14ac:dyDescent="0.3">
      <c r="A12" t="s">
        <v>54</v>
      </c>
      <c r="B12" s="2">
        <v>45995</v>
      </c>
      <c r="C12" t="s">
        <v>13</v>
      </c>
      <c r="D12" t="s">
        <v>14</v>
      </c>
      <c r="E12" t="s">
        <v>15</v>
      </c>
      <c r="F12" t="s">
        <v>44</v>
      </c>
      <c r="G12" t="s">
        <v>22</v>
      </c>
      <c r="H12" t="s">
        <v>55</v>
      </c>
      <c r="I12">
        <v>0</v>
      </c>
      <c r="J12">
        <v>884</v>
      </c>
      <c r="K12">
        <v>884</v>
      </c>
      <c r="L12" t="s">
        <v>24</v>
      </c>
    </row>
    <row r="13" spans="1:12" x14ac:dyDescent="0.3">
      <c r="A13" t="s">
        <v>56</v>
      </c>
      <c r="B13" s="2">
        <v>45995</v>
      </c>
      <c r="C13" t="s">
        <v>13</v>
      </c>
      <c r="D13" t="s">
        <v>26</v>
      </c>
      <c r="E13" t="s">
        <v>15</v>
      </c>
      <c r="F13" t="s">
        <v>44</v>
      </c>
      <c r="G13" t="s">
        <v>22</v>
      </c>
      <c r="H13" t="s">
        <v>57</v>
      </c>
      <c r="I13">
        <v>0</v>
      </c>
      <c r="J13">
        <v>958.75</v>
      </c>
      <c r="K13">
        <v>958.75</v>
      </c>
      <c r="L13" t="s">
        <v>24</v>
      </c>
    </row>
    <row r="14" spans="1:12" x14ac:dyDescent="0.3">
      <c r="A14" t="s">
        <v>58</v>
      </c>
      <c r="B14" s="2">
        <v>45995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59</v>
      </c>
      <c r="I14">
        <v>676.61</v>
      </c>
      <c r="J14">
        <v>0</v>
      </c>
      <c r="K14">
        <v>676.61</v>
      </c>
      <c r="L14" t="s">
        <v>19</v>
      </c>
    </row>
    <row r="15" spans="1:12" x14ac:dyDescent="0.3">
      <c r="A15" t="s">
        <v>60</v>
      </c>
      <c r="B15" s="2">
        <v>45995</v>
      </c>
      <c r="C15" t="s">
        <v>13</v>
      </c>
      <c r="D15" t="s">
        <v>61</v>
      </c>
      <c r="E15" t="s">
        <v>32</v>
      </c>
      <c r="F15" t="s">
        <v>62</v>
      </c>
      <c r="G15" t="s">
        <v>63</v>
      </c>
      <c r="H15" t="s">
        <v>64</v>
      </c>
      <c r="I15">
        <v>404.43</v>
      </c>
      <c r="J15">
        <v>0</v>
      </c>
      <c r="K15">
        <v>404.43</v>
      </c>
      <c r="L15" t="s">
        <v>19</v>
      </c>
    </row>
    <row r="16" spans="1:12" x14ac:dyDescent="0.3">
      <c r="A16" t="s">
        <v>65</v>
      </c>
      <c r="B16" s="2">
        <v>45995</v>
      </c>
      <c r="C16" t="s">
        <v>13</v>
      </c>
      <c r="D16" t="s">
        <v>66</v>
      </c>
      <c r="E16" t="s">
        <v>15</v>
      </c>
      <c r="F16" t="s">
        <v>27</v>
      </c>
      <c r="G16" t="s">
        <v>28</v>
      </c>
      <c r="H16" t="s">
        <v>67</v>
      </c>
      <c r="I16">
        <v>393.26</v>
      </c>
      <c r="J16">
        <v>0</v>
      </c>
      <c r="K16">
        <v>393.26</v>
      </c>
      <c r="L16" t="s">
        <v>19</v>
      </c>
    </row>
    <row r="17" spans="1:12" x14ac:dyDescent="0.3">
      <c r="A17" t="s">
        <v>68</v>
      </c>
      <c r="B17" s="2">
        <v>45996</v>
      </c>
      <c r="C17" t="s">
        <v>13</v>
      </c>
      <c r="D17" t="s">
        <v>39</v>
      </c>
      <c r="E17" t="s">
        <v>32</v>
      </c>
      <c r="F17" t="s">
        <v>44</v>
      </c>
      <c r="G17" t="s">
        <v>22</v>
      </c>
      <c r="H17" t="s">
        <v>69</v>
      </c>
      <c r="I17">
        <v>0</v>
      </c>
      <c r="J17">
        <v>721.5</v>
      </c>
      <c r="K17">
        <v>721.5</v>
      </c>
      <c r="L17" t="s">
        <v>24</v>
      </c>
    </row>
    <row r="18" spans="1:12" x14ac:dyDescent="0.3">
      <c r="A18" t="s">
        <v>70</v>
      </c>
      <c r="B18" s="2">
        <v>45996</v>
      </c>
      <c r="C18" t="s">
        <v>13</v>
      </c>
      <c r="D18" t="s">
        <v>61</v>
      </c>
      <c r="E18" t="s">
        <v>32</v>
      </c>
      <c r="F18" t="s">
        <v>71</v>
      </c>
      <c r="G18" t="s">
        <v>28</v>
      </c>
      <c r="H18" t="s">
        <v>72</v>
      </c>
      <c r="I18">
        <v>806.64</v>
      </c>
      <c r="J18">
        <v>0</v>
      </c>
      <c r="K18">
        <v>806.64</v>
      </c>
      <c r="L18" t="s">
        <v>19</v>
      </c>
    </row>
    <row r="19" spans="1:12" x14ac:dyDescent="0.3">
      <c r="A19" t="s">
        <v>73</v>
      </c>
      <c r="B19" s="2">
        <v>45997</v>
      </c>
      <c r="C19" t="s">
        <v>13</v>
      </c>
      <c r="D19" t="s">
        <v>26</v>
      </c>
      <c r="E19" t="s">
        <v>15</v>
      </c>
      <c r="F19" t="s">
        <v>21</v>
      </c>
      <c r="G19" t="s">
        <v>22</v>
      </c>
      <c r="H19" t="s">
        <v>74</v>
      </c>
      <c r="I19">
        <v>0</v>
      </c>
      <c r="J19">
        <v>528.5</v>
      </c>
      <c r="K19">
        <v>528.5</v>
      </c>
      <c r="L19" t="s">
        <v>24</v>
      </c>
    </row>
    <row r="20" spans="1:12" x14ac:dyDescent="0.3">
      <c r="A20" t="s">
        <v>75</v>
      </c>
      <c r="B20" s="2">
        <v>45997</v>
      </c>
      <c r="C20" t="s">
        <v>13</v>
      </c>
      <c r="D20" t="s">
        <v>26</v>
      </c>
      <c r="E20" t="s">
        <v>15</v>
      </c>
      <c r="F20" t="s">
        <v>76</v>
      </c>
      <c r="G20" t="s">
        <v>63</v>
      </c>
      <c r="H20" t="s">
        <v>77</v>
      </c>
      <c r="I20">
        <v>1441.55</v>
      </c>
      <c r="J20">
        <v>0</v>
      </c>
      <c r="K20">
        <v>1441.55</v>
      </c>
      <c r="L20" t="s">
        <v>19</v>
      </c>
    </row>
    <row r="21" spans="1:12" x14ac:dyDescent="0.3">
      <c r="A21" t="s">
        <v>78</v>
      </c>
      <c r="B21" s="2">
        <v>45997</v>
      </c>
      <c r="C21" t="s">
        <v>13</v>
      </c>
      <c r="D21" t="s">
        <v>14</v>
      </c>
      <c r="E21" t="s">
        <v>15</v>
      </c>
      <c r="F21" t="s">
        <v>52</v>
      </c>
      <c r="G21" t="s">
        <v>28</v>
      </c>
      <c r="H21" t="s">
        <v>53</v>
      </c>
      <c r="I21">
        <v>106.07</v>
      </c>
      <c r="J21">
        <v>0</v>
      </c>
      <c r="K21">
        <v>106.07</v>
      </c>
      <c r="L21" t="s">
        <v>19</v>
      </c>
    </row>
    <row r="22" spans="1:12" x14ac:dyDescent="0.3">
      <c r="A22" t="s">
        <v>79</v>
      </c>
      <c r="B22" s="2">
        <v>45997</v>
      </c>
      <c r="C22" t="s">
        <v>13</v>
      </c>
      <c r="D22" t="s">
        <v>80</v>
      </c>
      <c r="E22" t="s">
        <v>15</v>
      </c>
      <c r="F22" t="s">
        <v>81</v>
      </c>
      <c r="G22" t="s">
        <v>28</v>
      </c>
      <c r="H22" t="s">
        <v>82</v>
      </c>
      <c r="I22">
        <v>89.91</v>
      </c>
      <c r="J22">
        <v>0</v>
      </c>
      <c r="K22">
        <v>89.91</v>
      </c>
      <c r="L22" t="s">
        <v>19</v>
      </c>
    </row>
    <row r="23" spans="1:12" x14ac:dyDescent="0.3">
      <c r="A23" t="s">
        <v>83</v>
      </c>
      <c r="B23" s="2">
        <v>45998</v>
      </c>
      <c r="C23" t="s">
        <v>13</v>
      </c>
      <c r="D23" t="s">
        <v>39</v>
      </c>
      <c r="E23" t="s">
        <v>32</v>
      </c>
      <c r="F23" t="s">
        <v>40</v>
      </c>
      <c r="G23" t="s">
        <v>22</v>
      </c>
      <c r="H23" t="s">
        <v>84</v>
      </c>
      <c r="I23">
        <v>0</v>
      </c>
      <c r="J23">
        <v>776.25</v>
      </c>
      <c r="K23">
        <v>776.25</v>
      </c>
      <c r="L23" t="s">
        <v>24</v>
      </c>
    </row>
    <row r="24" spans="1:12" x14ac:dyDescent="0.3">
      <c r="A24" t="s">
        <v>85</v>
      </c>
      <c r="B24" s="2">
        <v>45998</v>
      </c>
      <c r="C24" t="s">
        <v>13</v>
      </c>
      <c r="D24" t="s">
        <v>66</v>
      </c>
      <c r="E24" t="s">
        <v>15</v>
      </c>
      <c r="F24" t="s">
        <v>40</v>
      </c>
      <c r="G24" t="s">
        <v>22</v>
      </c>
      <c r="H24" t="s">
        <v>86</v>
      </c>
      <c r="I24">
        <v>0</v>
      </c>
      <c r="J24">
        <v>420.9</v>
      </c>
      <c r="K24">
        <v>420.9</v>
      </c>
      <c r="L24" t="s">
        <v>24</v>
      </c>
    </row>
    <row r="25" spans="1:12" x14ac:dyDescent="0.3">
      <c r="A25" t="s">
        <v>87</v>
      </c>
      <c r="B25" s="2">
        <v>45998</v>
      </c>
      <c r="C25" t="s">
        <v>13</v>
      </c>
      <c r="D25" t="s">
        <v>66</v>
      </c>
      <c r="E25" t="s">
        <v>15</v>
      </c>
      <c r="F25" t="s">
        <v>36</v>
      </c>
      <c r="G25" t="s">
        <v>28</v>
      </c>
      <c r="H25" t="s">
        <v>37</v>
      </c>
      <c r="I25">
        <v>293.32</v>
      </c>
      <c r="J25">
        <v>0</v>
      </c>
      <c r="K25">
        <v>293.32</v>
      </c>
      <c r="L25" t="s">
        <v>19</v>
      </c>
    </row>
    <row r="26" spans="1:12" x14ac:dyDescent="0.3">
      <c r="A26" t="s">
        <v>88</v>
      </c>
      <c r="B26" s="2">
        <v>45998</v>
      </c>
      <c r="C26" t="s">
        <v>13</v>
      </c>
      <c r="D26" t="s">
        <v>39</v>
      </c>
      <c r="E26" t="s">
        <v>32</v>
      </c>
      <c r="F26" t="s">
        <v>16</v>
      </c>
      <c r="G26" t="s">
        <v>17</v>
      </c>
      <c r="H26" t="s">
        <v>89</v>
      </c>
      <c r="I26">
        <v>611.54</v>
      </c>
      <c r="J26">
        <v>0</v>
      </c>
      <c r="K26">
        <v>611.54</v>
      </c>
      <c r="L26" t="s">
        <v>19</v>
      </c>
    </row>
    <row r="27" spans="1:12" x14ac:dyDescent="0.3">
      <c r="A27" t="s">
        <v>90</v>
      </c>
      <c r="B27" s="2">
        <v>45999</v>
      </c>
      <c r="C27" t="s">
        <v>13</v>
      </c>
      <c r="D27" t="s">
        <v>14</v>
      </c>
      <c r="E27" t="s">
        <v>15</v>
      </c>
      <c r="F27" t="s">
        <v>40</v>
      </c>
      <c r="G27" t="s">
        <v>22</v>
      </c>
      <c r="H27" t="s">
        <v>91</v>
      </c>
      <c r="I27">
        <v>0</v>
      </c>
      <c r="J27">
        <v>796.95</v>
      </c>
      <c r="K27">
        <v>796.95</v>
      </c>
      <c r="L27" t="s">
        <v>24</v>
      </c>
    </row>
    <row r="28" spans="1:12" x14ac:dyDescent="0.3">
      <c r="A28" t="s">
        <v>92</v>
      </c>
      <c r="B28" s="2">
        <v>45999</v>
      </c>
      <c r="C28" t="s">
        <v>13</v>
      </c>
      <c r="D28" t="s">
        <v>14</v>
      </c>
      <c r="E28" t="s">
        <v>15</v>
      </c>
      <c r="F28" t="s">
        <v>40</v>
      </c>
      <c r="G28" t="s">
        <v>22</v>
      </c>
      <c r="H28" t="s">
        <v>84</v>
      </c>
      <c r="I28">
        <v>0</v>
      </c>
      <c r="J28">
        <v>776.25</v>
      </c>
      <c r="K28">
        <v>776.25</v>
      </c>
      <c r="L28" t="s">
        <v>24</v>
      </c>
    </row>
    <row r="29" spans="1:12" x14ac:dyDescent="0.3">
      <c r="A29" t="s">
        <v>93</v>
      </c>
      <c r="B29" s="2">
        <v>45999</v>
      </c>
      <c r="C29" t="s">
        <v>13</v>
      </c>
      <c r="D29" t="s">
        <v>61</v>
      </c>
      <c r="E29" t="s">
        <v>32</v>
      </c>
      <c r="F29" t="s">
        <v>40</v>
      </c>
      <c r="G29" t="s">
        <v>22</v>
      </c>
      <c r="H29" t="s">
        <v>94</v>
      </c>
      <c r="I29">
        <v>0</v>
      </c>
      <c r="J29">
        <v>903.9</v>
      </c>
      <c r="K29">
        <v>903.9</v>
      </c>
      <c r="L29" t="s">
        <v>24</v>
      </c>
    </row>
    <row r="30" spans="1:12" x14ac:dyDescent="0.3">
      <c r="A30" t="s">
        <v>95</v>
      </c>
      <c r="B30" s="2">
        <v>45999</v>
      </c>
      <c r="C30" t="s">
        <v>13</v>
      </c>
      <c r="D30" t="s">
        <v>14</v>
      </c>
      <c r="E30" t="s">
        <v>15</v>
      </c>
      <c r="F30" t="s">
        <v>40</v>
      </c>
      <c r="G30" t="s">
        <v>22</v>
      </c>
      <c r="H30" t="s">
        <v>96</v>
      </c>
      <c r="I30">
        <v>0</v>
      </c>
      <c r="J30">
        <v>897</v>
      </c>
      <c r="K30">
        <v>897</v>
      </c>
      <c r="L30" t="s">
        <v>24</v>
      </c>
    </row>
    <row r="31" spans="1:12" x14ac:dyDescent="0.3">
      <c r="A31" t="s">
        <v>97</v>
      </c>
      <c r="B31" s="2">
        <v>46000</v>
      </c>
      <c r="C31" t="s">
        <v>13</v>
      </c>
      <c r="D31" t="s">
        <v>80</v>
      </c>
      <c r="E31" t="s">
        <v>15</v>
      </c>
      <c r="F31" t="s">
        <v>21</v>
      </c>
      <c r="G31" t="s">
        <v>22</v>
      </c>
      <c r="H31" t="s">
        <v>98</v>
      </c>
      <c r="I31">
        <v>0</v>
      </c>
      <c r="J31">
        <v>626.5</v>
      </c>
      <c r="K31">
        <v>626.5</v>
      </c>
      <c r="L31" t="s">
        <v>24</v>
      </c>
    </row>
    <row r="32" spans="1:12" x14ac:dyDescent="0.3">
      <c r="A32" t="s">
        <v>99</v>
      </c>
      <c r="B32" s="2">
        <v>46000</v>
      </c>
      <c r="C32" t="s">
        <v>13</v>
      </c>
      <c r="D32" t="s">
        <v>80</v>
      </c>
      <c r="E32" t="s">
        <v>15</v>
      </c>
      <c r="F32" t="s">
        <v>21</v>
      </c>
      <c r="G32" t="s">
        <v>22</v>
      </c>
      <c r="H32" t="s">
        <v>100</v>
      </c>
      <c r="I32">
        <v>0</v>
      </c>
      <c r="J32">
        <v>539</v>
      </c>
      <c r="K32">
        <v>539</v>
      </c>
      <c r="L32" t="s">
        <v>24</v>
      </c>
    </row>
    <row r="33" spans="1:12" x14ac:dyDescent="0.3">
      <c r="A33" t="s">
        <v>101</v>
      </c>
      <c r="B33" s="2">
        <v>46000</v>
      </c>
      <c r="C33" t="s">
        <v>13</v>
      </c>
      <c r="D33" t="s">
        <v>80</v>
      </c>
      <c r="E33" t="s">
        <v>15</v>
      </c>
      <c r="F33" t="s">
        <v>40</v>
      </c>
      <c r="G33" t="s">
        <v>22</v>
      </c>
      <c r="H33" t="s">
        <v>102</v>
      </c>
      <c r="I33">
        <v>0</v>
      </c>
      <c r="J33">
        <v>848.7</v>
      </c>
      <c r="K33">
        <v>848.7</v>
      </c>
      <c r="L33" t="s">
        <v>24</v>
      </c>
    </row>
    <row r="34" spans="1:12" x14ac:dyDescent="0.3">
      <c r="A34" t="s">
        <v>103</v>
      </c>
      <c r="B34" s="2">
        <v>46000</v>
      </c>
      <c r="C34" t="s">
        <v>13</v>
      </c>
      <c r="D34" t="s">
        <v>31</v>
      </c>
      <c r="E34" t="s">
        <v>32</v>
      </c>
      <c r="F34" t="s">
        <v>62</v>
      </c>
      <c r="G34" t="s">
        <v>63</v>
      </c>
      <c r="H34" t="s">
        <v>104</v>
      </c>
      <c r="I34">
        <v>435.58</v>
      </c>
      <c r="J34">
        <v>0</v>
      </c>
      <c r="K34">
        <v>435.58</v>
      </c>
      <c r="L34" t="s">
        <v>19</v>
      </c>
    </row>
    <row r="35" spans="1:12" x14ac:dyDescent="0.3">
      <c r="A35" t="s">
        <v>105</v>
      </c>
      <c r="B35" s="2">
        <v>46000</v>
      </c>
      <c r="C35" t="s">
        <v>13</v>
      </c>
      <c r="D35" t="s">
        <v>14</v>
      </c>
      <c r="E35" t="s">
        <v>15</v>
      </c>
      <c r="F35" t="s">
        <v>71</v>
      </c>
      <c r="G35" t="s">
        <v>28</v>
      </c>
      <c r="H35" t="s">
        <v>106</v>
      </c>
      <c r="I35">
        <v>933.49</v>
      </c>
      <c r="J35">
        <v>0</v>
      </c>
      <c r="K35">
        <v>933.49</v>
      </c>
      <c r="L35" t="s">
        <v>19</v>
      </c>
    </row>
    <row r="36" spans="1:12" x14ac:dyDescent="0.3">
      <c r="A36" t="s">
        <v>107</v>
      </c>
      <c r="B36" s="2">
        <v>46001</v>
      </c>
      <c r="C36" t="s">
        <v>13</v>
      </c>
      <c r="D36" t="s">
        <v>108</v>
      </c>
      <c r="E36" t="s">
        <v>32</v>
      </c>
      <c r="F36" t="s">
        <v>40</v>
      </c>
      <c r="G36" t="s">
        <v>22</v>
      </c>
      <c r="H36" t="s">
        <v>109</v>
      </c>
      <c r="I36">
        <v>0</v>
      </c>
      <c r="J36">
        <v>869.4</v>
      </c>
      <c r="K36">
        <v>869.4</v>
      </c>
      <c r="L36" t="s">
        <v>24</v>
      </c>
    </row>
    <row r="37" spans="1:12" x14ac:dyDescent="0.3">
      <c r="A37" t="s">
        <v>110</v>
      </c>
      <c r="B37" s="2">
        <v>46001</v>
      </c>
      <c r="C37" t="s">
        <v>13</v>
      </c>
      <c r="D37" t="s">
        <v>80</v>
      </c>
      <c r="E37" t="s">
        <v>15</v>
      </c>
      <c r="F37" t="s">
        <v>44</v>
      </c>
      <c r="G37" t="s">
        <v>22</v>
      </c>
      <c r="H37" t="s">
        <v>111</v>
      </c>
      <c r="I37">
        <v>0</v>
      </c>
      <c r="J37">
        <v>689</v>
      </c>
      <c r="K37">
        <v>689</v>
      </c>
      <c r="L37" t="s">
        <v>24</v>
      </c>
    </row>
    <row r="38" spans="1:12" x14ac:dyDescent="0.3">
      <c r="A38" t="s">
        <v>112</v>
      </c>
      <c r="B38" s="2">
        <v>46001</v>
      </c>
      <c r="C38" t="s">
        <v>13</v>
      </c>
      <c r="D38" t="s">
        <v>61</v>
      </c>
      <c r="E38" t="s">
        <v>32</v>
      </c>
      <c r="F38" t="s">
        <v>71</v>
      </c>
      <c r="G38" t="s">
        <v>28</v>
      </c>
      <c r="H38" t="s">
        <v>113</v>
      </c>
      <c r="I38">
        <v>837.24</v>
      </c>
      <c r="J38">
        <v>0</v>
      </c>
      <c r="K38">
        <v>837.24</v>
      </c>
      <c r="L38" t="s">
        <v>19</v>
      </c>
    </row>
    <row r="39" spans="1:12" x14ac:dyDescent="0.3">
      <c r="A39" t="s">
        <v>114</v>
      </c>
      <c r="B39" s="2">
        <v>46002</v>
      </c>
      <c r="C39" t="s">
        <v>13</v>
      </c>
      <c r="D39" t="s">
        <v>66</v>
      </c>
      <c r="E39" t="s">
        <v>15</v>
      </c>
      <c r="F39" t="s">
        <v>44</v>
      </c>
      <c r="G39" t="s">
        <v>22</v>
      </c>
      <c r="H39" t="s">
        <v>115</v>
      </c>
      <c r="I39">
        <v>0</v>
      </c>
      <c r="J39">
        <v>685.75</v>
      </c>
      <c r="K39">
        <v>685.75</v>
      </c>
      <c r="L39" t="s">
        <v>24</v>
      </c>
    </row>
    <row r="40" spans="1:12" x14ac:dyDescent="0.3">
      <c r="A40" t="s">
        <v>116</v>
      </c>
      <c r="B40" s="2">
        <v>46002</v>
      </c>
      <c r="C40" t="s">
        <v>13</v>
      </c>
      <c r="D40" t="s">
        <v>43</v>
      </c>
      <c r="E40" t="s">
        <v>32</v>
      </c>
      <c r="F40" t="s">
        <v>21</v>
      </c>
      <c r="G40" t="s">
        <v>22</v>
      </c>
      <c r="H40" t="s">
        <v>117</v>
      </c>
      <c r="I40">
        <v>0</v>
      </c>
      <c r="J40">
        <v>791</v>
      </c>
      <c r="K40">
        <v>791</v>
      </c>
      <c r="L40" t="s">
        <v>24</v>
      </c>
    </row>
    <row r="41" spans="1:12" x14ac:dyDescent="0.3">
      <c r="A41" t="s">
        <v>118</v>
      </c>
      <c r="B41" s="2">
        <v>46002</v>
      </c>
      <c r="C41" t="s">
        <v>13</v>
      </c>
      <c r="D41" t="s">
        <v>26</v>
      </c>
      <c r="E41" t="s">
        <v>15</v>
      </c>
      <c r="F41" t="s">
        <v>21</v>
      </c>
      <c r="G41" t="s">
        <v>22</v>
      </c>
      <c r="H41" t="s">
        <v>119</v>
      </c>
      <c r="I41">
        <v>0</v>
      </c>
      <c r="J41">
        <v>616</v>
      </c>
      <c r="K41">
        <v>616</v>
      </c>
      <c r="L41" t="s">
        <v>24</v>
      </c>
    </row>
    <row r="42" spans="1:12" x14ac:dyDescent="0.3">
      <c r="A42" t="s">
        <v>120</v>
      </c>
      <c r="B42" s="2">
        <v>46003</v>
      </c>
      <c r="C42" t="s">
        <v>13</v>
      </c>
      <c r="D42" t="s">
        <v>80</v>
      </c>
      <c r="E42" t="s">
        <v>15</v>
      </c>
      <c r="F42" t="s">
        <v>40</v>
      </c>
      <c r="G42" t="s">
        <v>22</v>
      </c>
      <c r="H42" t="s">
        <v>121</v>
      </c>
      <c r="I42">
        <v>0</v>
      </c>
      <c r="J42">
        <v>890.1</v>
      </c>
      <c r="K42">
        <v>890.1</v>
      </c>
      <c r="L42" t="s">
        <v>24</v>
      </c>
    </row>
    <row r="43" spans="1:12" x14ac:dyDescent="0.3">
      <c r="A43" t="s">
        <v>122</v>
      </c>
      <c r="B43" s="2">
        <v>46004</v>
      </c>
      <c r="C43" t="s">
        <v>13</v>
      </c>
      <c r="D43" t="s">
        <v>66</v>
      </c>
      <c r="E43" t="s">
        <v>15</v>
      </c>
      <c r="F43" t="s">
        <v>81</v>
      </c>
      <c r="G43" t="s">
        <v>28</v>
      </c>
      <c r="H43" t="s">
        <v>82</v>
      </c>
      <c r="I43">
        <v>178.76</v>
      </c>
      <c r="J43">
        <v>0</v>
      </c>
      <c r="K43">
        <v>178.76</v>
      </c>
      <c r="L43" t="s">
        <v>19</v>
      </c>
    </row>
    <row r="44" spans="1:12" x14ac:dyDescent="0.3">
      <c r="A44" t="s">
        <v>123</v>
      </c>
      <c r="B44" s="2">
        <v>46005</v>
      </c>
      <c r="C44" t="s">
        <v>13</v>
      </c>
      <c r="D44" t="s">
        <v>14</v>
      </c>
      <c r="E44" t="s">
        <v>15</v>
      </c>
      <c r="F44" t="s">
        <v>21</v>
      </c>
      <c r="G44" t="s">
        <v>22</v>
      </c>
      <c r="H44" t="s">
        <v>124</v>
      </c>
      <c r="I44">
        <v>0</v>
      </c>
      <c r="J44">
        <v>1158.5</v>
      </c>
      <c r="K44">
        <v>1158.5</v>
      </c>
      <c r="L44" t="s">
        <v>24</v>
      </c>
    </row>
    <row r="45" spans="1:12" x14ac:dyDescent="0.3">
      <c r="A45" t="s">
        <v>125</v>
      </c>
      <c r="B45" s="2">
        <v>46005</v>
      </c>
      <c r="C45" t="s">
        <v>13</v>
      </c>
      <c r="D45" t="s">
        <v>80</v>
      </c>
      <c r="E45" t="s">
        <v>15</v>
      </c>
      <c r="F45" t="s">
        <v>21</v>
      </c>
      <c r="G45" t="s">
        <v>22</v>
      </c>
      <c r="H45" t="s">
        <v>126</v>
      </c>
      <c r="I45">
        <v>0</v>
      </c>
      <c r="J45">
        <v>1169</v>
      </c>
      <c r="K45">
        <v>1169</v>
      </c>
      <c r="L45" t="s">
        <v>24</v>
      </c>
    </row>
    <row r="46" spans="1:12" x14ac:dyDescent="0.3">
      <c r="A46" t="s">
        <v>127</v>
      </c>
      <c r="B46" s="2">
        <v>46005</v>
      </c>
      <c r="C46" t="s">
        <v>13</v>
      </c>
      <c r="D46" t="s">
        <v>14</v>
      </c>
      <c r="E46" t="s">
        <v>15</v>
      </c>
      <c r="F46" t="s">
        <v>33</v>
      </c>
      <c r="G46" t="s">
        <v>28</v>
      </c>
      <c r="H46" t="s">
        <v>34</v>
      </c>
      <c r="I46">
        <v>161.30000000000001</v>
      </c>
      <c r="J46">
        <v>0</v>
      </c>
      <c r="K46">
        <v>161.30000000000001</v>
      </c>
      <c r="L46" t="s">
        <v>19</v>
      </c>
    </row>
    <row r="47" spans="1:12" x14ac:dyDescent="0.3">
      <c r="A47" t="s">
        <v>130</v>
      </c>
      <c r="B47" s="2">
        <v>46006</v>
      </c>
      <c r="C47" t="s">
        <v>13</v>
      </c>
      <c r="D47" t="s">
        <v>66</v>
      </c>
      <c r="E47" t="s">
        <v>15</v>
      </c>
      <c r="F47" t="s">
        <v>40</v>
      </c>
      <c r="G47" t="s">
        <v>22</v>
      </c>
      <c r="H47" t="s">
        <v>131</v>
      </c>
      <c r="I47">
        <v>0</v>
      </c>
      <c r="J47">
        <v>1128.1500000000001</v>
      </c>
      <c r="K47">
        <v>1128.1500000000001</v>
      </c>
      <c r="L47" t="s">
        <v>24</v>
      </c>
    </row>
    <row r="48" spans="1:12" x14ac:dyDescent="0.3">
      <c r="A48" t="s">
        <v>132</v>
      </c>
      <c r="B48" s="2">
        <v>46006</v>
      </c>
      <c r="C48" t="s">
        <v>13</v>
      </c>
      <c r="D48" t="s">
        <v>14</v>
      </c>
      <c r="E48" t="s">
        <v>15</v>
      </c>
      <c r="F48" t="s">
        <v>40</v>
      </c>
      <c r="G48" t="s">
        <v>22</v>
      </c>
      <c r="H48" t="s">
        <v>133</v>
      </c>
      <c r="I48">
        <v>0</v>
      </c>
      <c r="J48">
        <v>1210.95</v>
      </c>
      <c r="K48">
        <v>1210.95</v>
      </c>
      <c r="L48" t="s">
        <v>24</v>
      </c>
    </row>
    <row r="49" spans="1:12" x14ac:dyDescent="0.3">
      <c r="A49" t="s">
        <v>134</v>
      </c>
      <c r="B49" s="2">
        <v>46006</v>
      </c>
      <c r="C49" t="s">
        <v>13</v>
      </c>
      <c r="D49" t="s">
        <v>80</v>
      </c>
      <c r="E49" t="s">
        <v>15</v>
      </c>
      <c r="F49" t="s">
        <v>40</v>
      </c>
      <c r="G49" t="s">
        <v>22</v>
      </c>
      <c r="H49" t="s">
        <v>135</v>
      </c>
      <c r="I49">
        <v>0</v>
      </c>
      <c r="J49">
        <v>997.05</v>
      </c>
      <c r="K49">
        <v>997.05</v>
      </c>
      <c r="L49" t="s">
        <v>24</v>
      </c>
    </row>
    <row r="50" spans="1:12" x14ac:dyDescent="0.3">
      <c r="A50" t="s">
        <v>136</v>
      </c>
      <c r="B50" s="2">
        <v>46006</v>
      </c>
      <c r="C50" t="s">
        <v>13</v>
      </c>
      <c r="D50" t="s">
        <v>14</v>
      </c>
      <c r="E50" t="s">
        <v>15</v>
      </c>
      <c r="F50" t="s">
        <v>137</v>
      </c>
      <c r="G50" t="s">
        <v>138</v>
      </c>
      <c r="H50" t="s">
        <v>139</v>
      </c>
      <c r="I50">
        <v>191.89</v>
      </c>
      <c r="J50">
        <v>0</v>
      </c>
      <c r="K50">
        <v>191.89</v>
      </c>
      <c r="L50" t="s">
        <v>19</v>
      </c>
    </row>
    <row r="51" spans="1:12" x14ac:dyDescent="0.3">
      <c r="A51" t="s">
        <v>140</v>
      </c>
      <c r="B51" s="2">
        <v>46006</v>
      </c>
      <c r="C51" t="s">
        <v>13</v>
      </c>
      <c r="D51" t="s">
        <v>31</v>
      </c>
      <c r="E51" t="s">
        <v>32</v>
      </c>
      <c r="F51" t="s">
        <v>27</v>
      </c>
      <c r="G51" t="s">
        <v>28</v>
      </c>
      <c r="H51" t="s">
        <v>67</v>
      </c>
      <c r="I51">
        <v>325.67</v>
      </c>
      <c r="J51">
        <v>0</v>
      </c>
      <c r="K51">
        <v>325.67</v>
      </c>
      <c r="L51" t="s">
        <v>19</v>
      </c>
    </row>
    <row r="52" spans="1:12" x14ac:dyDescent="0.3">
      <c r="A52" t="s">
        <v>141</v>
      </c>
      <c r="B52" s="2">
        <v>46007</v>
      </c>
      <c r="C52" t="s">
        <v>13</v>
      </c>
      <c r="D52" t="s">
        <v>14</v>
      </c>
      <c r="E52" t="s">
        <v>15</v>
      </c>
      <c r="F52" t="s">
        <v>21</v>
      </c>
      <c r="G52" t="s">
        <v>22</v>
      </c>
      <c r="H52" t="s">
        <v>142</v>
      </c>
      <c r="I52">
        <v>0</v>
      </c>
      <c r="J52">
        <v>710.5</v>
      </c>
      <c r="K52">
        <v>710.5</v>
      </c>
      <c r="L52" t="s">
        <v>24</v>
      </c>
    </row>
    <row r="53" spans="1:12" x14ac:dyDescent="0.3">
      <c r="A53" t="s">
        <v>143</v>
      </c>
      <c r="B53" s="2">
        <v>46007</v>
      </c>
      <c r="C53" t="s">
        <v>13</v>
      </c>
      <c r="D53" t="s">
        <v>80</v>
      </c>
      <c r="E53" t="s">
        <v>15</v>
      </c>
      <c r="F53" t="s">
        <v>76</v>
      </c>
      <c r="G53" t="s">
        <v>63</v>
      </c>
      <c r="H53" t="s">
        <v>144</v>
      </c>
      <c r="I53">
        <v>1776.67</v>
      </c>
      <c r="J53">
        <v>0</v>
      </c>
      <c r="K53">
        <v>1776.67</v>
      </c>
      <c r="L53" t="s">
        <v>19</v>
      </c>
    </row>
    <row r="54" spans="1:12" x14ac:dyDescent="0.3">
      <c r="A54" t="s">
        <v>145</v>
      </c>
      <c r="B54" s="2">
        <v>46008</v>
      </c>
      <c r="C54" t="s">
        <v>13</v>
      </c>
      <c r="D54" t="s">
        <v>26</v>
      </c>
      <c r="E54" t="s">
        <v>15</v>
      </c>
      <c r="F54" t="s">
        <v>21</v>
      </c>
      <c r="G54" t="s">
        <v>22</v>
      </c>
      <c r="H54" t="s">
        <v>146</v>
      </c>
      <c r="I54">
        <v>0</v>
      </c>
      <c r="J54">
        <v>696.5</v>
      </c>
      <c r="K54">
        <v>696.5</v>
      </c>
      <c r="L54" t="s">
        <v>24</v>
      </c>
    </row>
    <row r="55" spans="1:12" x14ac:dyDescent="0.3">
      <c r="A55" t="s">
        <v>147</v>
      </c>
      <c r="B55" s="2">
        <v>46008</v>
      </c>
      <c r="C55" t="s">
        <v>13</v>
      </c>
      <c r="D55" t="s">
        <v>80</v>
      </c>
      <c r="E55" t="s">
        <v>15</v>
      </c>
      <c r="F55" t="s">
        <v>36</v>
      </c>
      <c r="G55" t="s">
        <v>28</v>
      </c>
      <c r="H55" t="s">
        <v>148</v>
      </c>
      <c r="I55">
        <v>297.74</v>
      </c>
      <c r="J55">
        <v>0</v>
      </c>
      <c r="K55">
        <v>297.74</v>
      </c>
      <c r="L55" t="s">
        <v>19</v>
      </c>
    </row>
    <row r="56" spans="1:12" x14ac:dyDescent="0.3">
      <c r="A56" t="s">
        <v>149</v>
      </c>
      <c r="B56" s="2">
        <v>46009</v>
      </c>
      <c r="C56" t="s">
        <v>13</v>
      </c>
      <c r="D56" t="s">
        <v>66</v>
      </c>
      <c r="E56" t="s">
        <v>15</v>
      </c>
      <c r="F56" t="s">
        <v>21</v>
      </c>
      <c r="G56" t="s">
        <v>22</v>
      </c>
      <c r="H56" t="s">
        <v>150</v>
      </c>
      <c r="I56">
        <v>0</v>
      </c>
      <c r="J56">
        <v>469</v>
      </c>
      <c r="K56">
        <v>469</v>
      </c>
      <c r="L56" t="s">
        <v>24</v>
      </c>
    </row>
    <row r="57" spans="1:12" x14ac:dyDescent="0.3">
      <c r="A57" t="s">
        <v>151</v>
      </c>
      <c r="B57" s="2">
        <v>46009</v>
      </c>
      <c r="C57" t="s">
        <v>13</v>
      </c>
      <c r="D57" t="s">
        <v>26</v>
      </c>
      <c r="E57" t="s">
        <v>15</v>
      </c>
      <c r="F57" t="s">
        <v>21</v>
      </c>
      <c r="G57" t="s">
        <v>22</v>
      </c>
      <c r="H57" t="s">
        <v>152</v>
      </c>
      <c r="I57">
        <v>0</v>
      </c>
      <c r="J57">
        <v>966</v>
      </c>
      <c r="K57">
        <v>966</v>
      </c>
      <c r="L57" t="s">
        <v>24</v>
      </c>
    </row>
    <row r="58" spans="1:12" x14ac:dyDescent="0.3">
      <c r="A58" t="s">
        <v>153</v>
      </c>
      <c r="B58" s="2">
        <v>46009</v>
      </c>
      <c r="C58" t="s">
        <v>13</v>
      </c>
      <c r="D58" t="s">
        <v>26</v>
      </c>
      <c r="E58" t="s">
        <v>15</v>
      </c>
      <c r="F58" t="s">
        <v>154</v>
      </c>
      <c r="G58" t="s">
        <v>17</v>
      </c>
      <c r="H58" t="s">
        <v>155</v>
      </c>
      <c r="I58">
        <v>493.75</v>
      </c>
      <c r="J58">
        <v>0</v>
      </c>
      <c r="K58">
        <v>493.75</v>
      </c>
      <c r="L58" t="s">
        <v>19</v>
      </c>
    </row>
    <row r="59" spans="1:12" x14ac:dyDescent="0.3">
      <c r="A59" t="s">
        <v>156</v>
      </c>
      <c r="B59" s="2">
        <v>46010</v>
      </c>
      <c r="C59" t="s">
        <v>13</v>
      </c>
      <c r="D59" t="s">
        <v>26</v>
      </c>
      <c r="E59" t="s">
        <v>15</v>
      </c>
      <c r="F59" t="s">
        <v>44</v>
      </c>
      <c r="G59" t="s">
        <v>22</v>
      </c>
      <c r="H59" t="s">
        <v>157</v>
      </c>
      <c r="I59">
        <v>0</v>
      </c>
      <c r="J59">
        <v>552.5</v>
      </c>
      <c r="K59">
        <v>552.5</v>
      </c>
      <c r="L59" t="s">
        <v>24</v>
      </c>
    </row>
    <row r="60" spans="1:12" x14ac:dyDescent="0.3">
      <c r="A60" t="s">
        <v>158</v>
      </c>
      <c r="B60" s="2">
        <v>46010</v>
      </c>
      <c r="C60" t="s">
        <v>13</v>
      </c>
      <c r="D60" t="s">
        <v>43</v>
      </c>
      <c r="E60" t="s">
        <v>32</v>
      </c>
      <c r="F60" t="s">
        <v>159</v>
      </c>
      <c r="G60" t="s">
        <v>28</v>
      </c>
      <c r="H60" t="s">
        <v>160</v>
      </c>
      <c r="I60">
        <v>350</v>
      </c>
      <c r="J60">
        <v>0</v>
      </c>
      <c r="K60">
        <v>350</v>
      </c>
      <c r="L60" t="s">
        <v>19</v>
      </c>
    </row>
    <row r="61" spans="1:12" x14ac:dyDescent="0.3">
      <c r="A61" t="s">
        <v>161</v>
      </c>
      <c r="B61" s="2">
        <v>46010</v>
      </c>
      <c r="C61" t="s">
        <v>13</v>
      </c>
      <c r="D61" t="s">
        <v>80</v>
      </c>
      <c r="E61" t="s">
        <v>15</v>
      </c>
      <c r="F61" t="s">
        <v>76</v>
      </c>
      <c r="G61" t="s">
        <v>63</v>
      </c>
      <c r="H61" t="s">
        <v>162</v>
      </c>
      <c r="I61">
        <v>2306.94</v>
      </c>
      <c r="J61">
        <v>0</v>
      </c>
      <c r="K61">
        <v>2306.94</v>
      </c>
      <c r="L61" t="s">
        <v>19</v>
      </c>
    </row>
    <row r="62" spans="1:12" x14ac:dyDescent="0.3">
      <c r="A62" t="s">
        <v>163</v>
      </c>
      <c r="B62" s="2">
        <v>46011</v>
      </c>
      <c r="C62" t="s">
        <v>13</v>
      </c>
      <c r="D62" t="s">
        <v>26</v>
      </c>
      <c r="E62" t="s">
        <v>15</v>
      </c>
      <c r="F62" t="s">
        <v>40</v>
      </c>
      <c r="G62" t="s">
        <v>22</v>
      </c>
      <c r="H62" t="s">
        <v>164</v>
      </c>
      <c r="I62">
        <v>0</v>
      </c>
      <c r="J62">
        <v>700.35</v>
      </c>
      <c r="K62">
        <v>700.35</v>
      </c>
      <c r="L62" t="s">
        <v>24</v>
      </c>
    </row>
    <row r="63" spans="1:12" x14ac:dyDescent="0.3">
      <c r="A63" t="s">
        <v>165</v>
      </c>
      <c r="B63" s="2">
        <v>46011</v>
      </c>
      <c r="C63" t="s">
        <v>13</v>
      </c>
      <c r="D63" t="s">
        <v>14</v>
      </c>
      <c r="E63" t="s">
        <v>15</v>
      </c>
      <c r="F63" t="s">
        <v>21</v>
      </c>
      <c r="G63" t="s">
        <v>22</v>
      </c>
      <c r="H63" t="s">
        <v>166</v>
      </c>
      <c r="I63">
        <v>0</v>
      </c>
      <c r="J63">
        <v>878.5</v>
      </c>
      <c r="K63">
        <v>878.5</v>
      </c>
      <c r="L63" t="s">
        <v>24</v>
      </c>
    </row>
    <row r="64" spans="1:12" x14ac:dyDescent="0.3">
      <c r="A64" t="s">
        <v>167</v>
      </c>
      <c r="B64" s="2">
        <v>46011</v>
      </c>
      <c r="C64" t="s">
        <v>13</v>
      </c>
      <c r="D64" t="s">
        <v>80</v>
      </c>
      <c r="E64" t="s">
        <v>15</v>
      </c>
      <c r="F64" t="s">
        <v>76</v>
      </c>
      <c r="G64" t="s">
        <v>63</v>
      </c>
      <c r="H64" t="s">
        <v>162</v>
      </c>
      <c r="I64">
        <v>1632.08</v>
      </c>
      <c r="J64">
        <v>0</v>
      </c>
      <c r="K64">
        <v>1632.08</v>
      </c>
      <c r="L64" t="s">
        <v>19</v>
      </c>
    </row>
    <row r="65" spans="1:12" x14ac:dyDescent="0.3">
      <c r="A65" t="s">
        <v>168</v>
      </c>
      <c r="B65" s="2">
        <v>46012</v>
      </c>
      <c r="C65" t="s">
        <v>13</v>
      </c>
      <c r="D65" t="s">
        <v>80</v>
      </c>
      <c r="E65" t="s">
        <v>15</v>
      </c>
      <c r="F65" t="s">
        <v>21</v>
      </c>
      <c r="G65" t="s">
        <v>22</v>
      </c>
      <c r="H65" t="s">
        <v>169</v>
      </c>
      <c r="I65">
        <v>0</v>
      </c>
      <c r="J65">
        <v>941.5</v>
      </c>
      <c r="K65">
        <v>941.5</v>
      </c>
      <c r="L65" t="s">
        <v>24</v>
      </c>
    </row>
    <row r="66" spans="1:12" x14ac:dyDescent="0.3">
      <c r="A66" t="s">
        <v>170</v>
      </c>
      <c r="B66" s="2">
        <v>46012</v>
      </c>
      <c r="C66" t="s">
        <v>13</v>
      </c>
      <c r="D66" t="s">
        <v>66</v>
      </c>
      <c r="E66" t="s">
        <v>15</v>
      </c>
      <c r="F66" t="s">
        <v>21</v>
      </c>
      <c r="G66" t="s">
        <v>22</v>
      </c>
      <c r="H66" t="s">
        <v>171</v>
      </c>
      <c r="I66">
        <v>0</v>
      </c>
      <c r="J66">
        <v>542.5</v>
      </c>
      <c r="K66">
        <v>542.5</v>
      </c>
      <c r="L66" t="s">
        <v>24</v>
      </c>
    </row>
    <row r="67" spans="1:12" x14ac:dyDescent="0.3">
      <c r="A67" t="s">
        <v>172</v>
      </c>
      <c r="B67" s="2">
        <v>46012</v>
      </c>
      <c r="C67" t="s">
        <v>13</v>
      </c>
      <c r="D67" t="s">
        <v>26</v>
      </c>
      <c r="E67" t="s">
        <v>15</v>
      </c>
      <c r="F67" t="s">
        <v>21</v>
      </c>
      <c r="G67" t="s">
        <v>22</v>
      </c>
      <c r="H67" t="s">
        <v>173</v>
      </c>
      <c r="I67">
        <v>0</v>
      </c>
      <c r="J67">
        <v>724.5</v>
      </c>
      <c r="K67">
        <v>724.5</v>
      </c>
      <c r="L67" t="s">
        <v>24</v>
      </c>
    </row>
    <row r="68" spans="1:12" x14ac:dyDescent="0.3">
      <c r="A68" t="s">
        <v>174</v>
      </c>
      <c r="B68" s="2">
        <v>46012</v>
      </c>
      <c r="C68" t="s">
        <v>13</v>
      </c>
      <c r="D68" t="s">
        <v>26</v>
      </c>
      <c r="E68" t="s">
        <v>15</v>
      </c>
      <c r="F68" t="s">
        <v>159</v>
      </c>
      <c r="G68" t="s">
        <v>28</v>
      </c>
      <c r="H68" t="s">
        <v>160</v>
      </c>
      <c r="I68">
        <v>245.53</v>
      </c>
      <c r="J68">
        <v>0</v>
      </c>
      <c r="K68">
        <v>245.53</v>
      </c>
      <c r="L68" t="s">
        <v>19</v>
      </c>
    </row>
    <row r="69" spans="1:12" x14ac:dyDescent="0.3">
      <c r="A69" t="s">
        <v>175</v>
      </c>
      <c r="B69" s="2">
        <v>46012</v>
      </c>
      <c r="C69" t="s">
        <v>13</v>
      </c>
      <c r="D69" t="s">
        <v>108</v>
      </c>
      <c r="E69" t="s">
        <v>32</v>
      </c>
      <c r="F69" t="s">
        <v>137</v>
      </c>
      <c r="G69" t="s">
        <v>138</v>
      </c>
      <c r="H69" t="s">
        <v>176</v>
      </c>
      <c r="I69">
        <v>179.44</v>
      </c>
      <c r="J69">
        <v>0</v>
      </c>
      <c r="K69">
        <v>179.44</v>
      </c>
      <c r="L69" t="s">
        <v>19</v>
      </c>
    </row>
    <row r="70" spans="1:12" x14ac:dyDescent="0.3">
      <c r="A70" t="s">
        <v>177</v>
      </c>
      <c r="B70" s="2">
        <v>46013</v>
      </c>
      <c r="C70" t="s">
        <v>13</v>
      </c>
      <c r="D70" t="s">
        <v>31</v>
      </c>
      <c r="E70" t="s">
        <v>32</v>
      </c>
      <c r="F70" t="s">
        <v>178</v>
      </c>
      <c r="G70" t="s">
        <v>138</v>
      </c>
      <c r="H70" t="s">
        <v>179</v>
      </c>
      <c r="I70">
        <v>2800</v>
      </c>
      <c r="J70">
        <v>0</v>
      </c>
      <c r="K70">
        <v>2800</v>
      </c>
      <c r="L70" t="s">
        <v>19</v>
      </c>
    </row>
    <row r="71" spans="1:12" x14ac:dyDescent="0.3">
      <c r="A71" t="s">
        <v>180</v>
      </c>
      <c r="B71" s="2">
        <v>46014</v>
      </c>
      <c r="C71" t="s">
        <v>13</v>
      </c>
      <c r="D71" t="s">
        <v>66</v>
      </c>
      <c r="E71" t="s">
        <v>15</v>
      </c>
      <c r="F71" t="s">
        <v>44</v>
      </c>
      <c r="G71" t="s">
        <v>22</v>
      </c>
      <c r="H71" t="s">
        <v>181</v>
      </c>
      <c r="I71">
        <v>0</v>
      </c>
      <c r="J71">
        <v>442</v>
      </c>
      <c r="K71">
        <v>442</v>
      </c>
      <c r="L71" t="s">
        <v>24</v>
      </c>
    </row>
    <row r="72" spans="1:12" x14ac:dyDescent="0.3">
      <c r="A72" t="s">
        <v>182</v>
      </c>
      <c r="B72" s="2">
        <v>46014</v>
      </c>
      <c r="C72" t="s">
        <v>13</v>
      </c>
      <c r="D72" t="s">
        <v>108</v>
      </c>
      <c r="E72" t="s">
        <v>32</v>
      </c>
      <c r="F72" t="s">
        <v>33</v>
      </c>
      <c r="G72" t="s">
        <v>28</v>
      </c>
      <c r="H72" t="s">
        <v>34</v>
      </c>
      <c r="I72">
        <v>236.38</v>
      </c>
      <c r="J72">
        <v>0</v>
      </c>
      <c r="K72">
        <v>236.38</v>
      </c>
      <c r="L72" t="s">
        <v>19</v>
      </c>
    </row>
    <row r="73" spans="1:12" x14ac:dyDescent="0.3">
      <c r="A73" t="s">
        <v>259</v>
      </c>
      <c r="B73" s="2">
        <v>45997</v>
      </c>
      <c r="C73" t="s">
        <v>13</v>
      </c>
      <c r="D73" t="s">
        <v>80</v>
      </c>
      <c r="E73" t="s">
        <v>15</v>
      </c>
      <c r="F73" t="s">
        <v>260</v>
      </c>
      <c r="G73" t="s">
        <v>28</v>
      </c>
      <c r="H73" t="s">
        <v>261</v>
      </c>
      <c r="I73">
        <v>590</v>
      </c>
      <c r="J73">
        <v>0</v>
      </c>
      <c r="K73">
        <v>590</v>
      </c>
      <c r="L73" t="s">
        <v>19</v>
      </c>
    </row>
    <row r="74" spans="1:12" x14ac:dyDescent="0.3">
      <c r="A74" t="s">
        <v>183</v>
      </c>
      <c r="B74" s="2">
        <v>46014</v>
      </c>
      <c r="C74" t="s">
        <v>13</v>
      </c>
      <c r="D74" t="s">
        <v>80</v>
      </c>
      <c r="E74" t="s">
        <v>15</v>
      </c>
      <c r="F74" t="s">
        <v>184</v>
      </c>
      <c r="G74" t="s">
        <v>138</v>
      </c>
      <c r="H74" t="s">
        <v>185</v>
      </c>
      <c r="I74">
        <v>274.79000000000002</v>
      </c>
      <c r="J74">
        <v>0</v>
      </c>
      <c r="K74">
        <v>274.79000000000002</v>
      </c>
      <c r="L74" t="s">
        <v>19</v>
      </c>
    </row>
    <row r="75" spans="1:12" x14ac:dyDescent="0.3">
      <c r="A75" t="s">
        <v>186</v>
      </c>
      <c r="B75" s="2">
        <v>46015</v>
      </c>
      <c r="C75" t="s">
        <v>13</v>
      </c>
      <c r="D75" t="s">
        <v>43</v>
      </c>
      <c r="E75" t="s">
        <v>32</v>
      </c>
      <c r="F75" t="s">
        <v>40</v>
      </c>
      <c r="G75" t="s">
        <v>22</v>
      </c>
      <c r="H75" t="s">
        <v>187</v>
      </c>
      <c r="I75">
        <v>0</v>
      </c>
      <c r="J75">
        <v>959.1</v>
      </c>
      <c r="K75">
        <v>959.1</v>
      </c>
      <c r="L75" t="s">
        <v>24</v>
      </c>
    </row>
    <row r="76" spans="1:12" x14ac:dyDescent="0.3">
      <c r="A76" t="s">
        <v>188</v>
      </c>
      <c r="B76" s="2">
        <v>46015</v>
      </c>
      <c r="C76" t="s">
        <v>13</v>
      </c>
      <c r="D76" t="s">
        <v>14</v>
      </c>
      <c r="E76" t="s">
        <v>15</v>
      </c>
      <c r="F76" t="s">
        <v>44</v>
      </c>
      <c r="G76" t="s">
        <v>22</v>
      </c>
      <c r="H76" t="s">
        <v>111</v>
      </c>
      <c r="I76">
        <v>0</v>
      </c>
      <c r="J76">
        <v>689</v>
      </c>
      <c r="K76">
        <v>689</v>
      </c>
      <c r="L76" t="s">
        <v>24</v>
      </c>
    </row>
    <row r="77" spans="1:12" x14ac:dyDescent="0.3">
      <c r="A77" t="s">
        <v>189</v>
      </c>
      <c r="B77" s="2">
        <v>46015</v>
      </c>
      <c r="C77" t="s">
        <v>13</v>
      </c>
      <c r="D77" t="s">
        <v>80</v>
      </c>
      <c r="E77" t="s">
        <v>15</v>
      </c>
      <c r="F77" t="s">
        <v>40</v>
      </c>
      <c r="G77" t="s">
        <v>22</v>
      </c>
      <c r="H77" t="s">
        <v>190</v>
      </c>
      <c r="I77">
        <v>0</v>
      </c>
      <c r="J77">
        <v>824.55</v>
      </c>
      <c r="K77">
        <v>824.55</v>
      </c>
      <c r="L77" t="s">
        <v>24</v>
      </c>
    </row>
    <row r="78" spans="1:12" x14ac:dyDescent="0.3">
      <c r="A78" t="s">
        <v>191</v>
      </c>
      <c r="B78" s="2">
        <v>46015</v>
      </c>
      <c r="C78" t="s">
        <v>13</v>
      </c>
      <c r="D78" t="s">
        <v>14</v>
      </c>
      <c r="E78" t="s">
        <v>15</v>
      </c>
      <c r="F78" t="s">
        <v>40</v>
      </c>
      <c r="G78" t="s">
        <v>22</v>
      </c>
      <c r="H78" t="s">
        <v>192</v>
      </c>
      <c r="I78">
        <v>0</v>
      </c>
      <c r="J78">
        <v>803.85</v>
      </c>
      <c r="K78">
        <v>803.85</v>
      </c>
      <c r="L78" t="s">
        <v>24</v>
      </c>
    </row>
    <row r="79" spans="1:12" x14ac:dyDescent="0.3">
      <c r="A79" t="s">
        <v>193</v>
      </c>
      <c r="B79" s="2">
        <v>46016</v>
      </c>
      <c r="C79" t="s">
        <v>13</v>
      </c>
      <c r="D79" t="s">
        <v>39</v>
      </c>
      <c r="E79" t="s">
        <v>32</v>
      </c>
      <c r="F79" t="s">
        <v>44</v>
      </c>
      <c r="G79" t="s">
        <v>22</v>
      </c>
      <c r="H79" t="s">
        <v>194</v>
      </c>
      <c r="I79">
        <v>0</v>
      </c>
      <c r="J79">
        <v>929.5</v>
      </c>
      <c r="K79">
        <v>929.5</v>
      </c>
      <c r="L79" t="s">
        <v>24</v>
      </c>
    </row>
    <row r="80" spans="1:12" x14ac:dyDescent="0.3">
      <c r="A80" t="s">
        <v>195</v>
      </c>
      <c r="B80" s="2">
        <v>46016</v>
      </c>
      <c r="C80" t="s">
        <v>13</v>
      </c>
      <c r="D80" t="s">
        <v>14</v>
      </c>
      <c r="E80" t="s">
        <v>15</v>
      </c>
      <c r="F80" t="s">
        <v>40</v>
      </c>
      <c r="G80" t="s">
        <v>22</v>
      </c>
      <c r="H80" t="s">
        <v>196</v>
      </c>
      <c r="I80">
        <v>0</v>
      </c>
      <c r="J80">
        <v>572.70000000000005</v>
      </c>
      <c r="K80">
        <v>572.70000000000005</v>
      </c>
      <c r="L80" t="s">
        <v>24</v>
      </c>
    </row>
    <row r="81" spans="1:12" x14ac:dyDescent="0.3">
      <c r="A81" t="s">
        <v>197</v>
      </c>
      <c r="B81" s="2">
        <v>46016</v>
      </c>
      <c r="C81" t="s">
        <v>13</v>
      </c>
      <c r="D81" t="s">
        <v>26</v>
      </c>
      <c r="E81" t="s">
        <v>15</v>
      </c>
      <c r="F81" t="s">
        <v>40</v>
      </c>
      <c r="G81" t="s">
        <v>22</v>
      </c>
      <c r="H81" t="s">
        <v>198</v>
      </c>
      <c r="I81">
        <v>0</v>
      </c>
      <c r="J81">
        <v>762.45</v>
      </c>
      <c r="K81">
        <v>762.45</v>
      </c>
      <c r="L81" t="s">
        <v>24</v>
      </c>
    </row>
    <row r="82" spans="1:12" x14ac:dyDescent="0.3">
      <c r="A82" t="s">
        <v>199</v>
      </c>
      <c r="B82" s="2">
        <v>46016</v>
      </c>
      <c r="C82" t="s">
        <v>13</v>
      </c>
      <c r="D82" t="s">
        <v>80</v>
      </c>
      <c r="E82" t="s">
        <v>15</v>
      </c>
      <c r="F82" t="s">
        <v>154</v>
      </c>
      <c r="G82" t="s">
        <v>17</v>
      </c>
      <c r="H82" t="s">
        <v>200</v>
      </c>
      <c r="I82">
        <v>444.85</v>
      </c>
      <c r="J82">
        <v>0</v>
      </c>
      <c r="K82">
        <v>444.85</v>
      </c>
      <c r="L82" t="s">
        <v>19</v>
      </c>
    </row>
    <row r="83" spans="1:12" x14ac:dyDescent="0.3">
      <c r="A83" t="s">
        <v>201</v>
      </c>
      <c r="B83" s="2">
        <v>46016</v>
      </c>
      <c r="C83" t="s">
        <v>13</v>
      </c>
      <c r="D83" t="s">
        <v>31</v>
      </c>
      <c r="E83" t="s">
        <v>32</v>
      </c>
      <c r="F83" t="s">
        <v>81</v>
      </c>
      <c r="G83" t="s">
        <v>28</v>
      </c>
      <c r="H83" t="s">
        <v>82</v>
      </c>
      <c r="I83">
        <v>131.74</v>
      </c>
      <c r="J83">
        <v>0</v>
      </c>
      <c r="K83">
        <v>131.74</v>
      </c>
      <c r="L83" t="s">
        <v>19</v>
      </c>
    </row>
    <row r="84" spans="1:12" x14ac:dyDescent="0.3">
      <c r="A84" t="s">
        <v>202</v>
      </c>
      <c r="B84" s="2">
        <v>46017</v>
      </c>
      <c r="C84" t="s">
        <v>13</v>
      </c>
      <c r="D84" t="s">
        <v>26</v>
      </c>
      <c r="E84" t="s">
        <v>15</v>
      </c>
      <c r="F84" t="s">
        <v>21</v>
      </c>
      <c r="G84" t="s">
        <v>22</v>
      </c>
      <c r="H84" t="s">
        <v>203</v>
      </c>
      <c r="I84">
        <v>0</v>
      </c>
      <c r="J84">
        <v>1053.5</v>
      </c>
      <c r="K84">
        <v>1053.5</v>
      </c>
      <c r="L84" t="s">
        <v>24</v>
      </c>
    </row>
    <row r="85" spans="1:12" x14ac:dyDescent="0.3">
      <c r="A85" t="s">
        <v>204</v>
      </c>
      <c r="B85" s="2">
        <v>46017</v>
      </c>
      <c r="C85" t="s">
        <v>13</v>
      </c>
      <c r="D85" t="s">
        <v>61</v>
      </c>
      <c r="E85" t="s">
        <v>32</v>
      </c>
      <c r="F85" t="s">
        <v>76</v>
      </c>
      <c r="G85" t="s">
        <v>63</v>
      </c>
      <c r="H85" t="s">
        <v>144</v>
      </c>
      <c r="I85">
        <v>1907.33</v>
      </c>
      <c r="J85">
        <v>0</v>
      </c>
      <c r="K85">
        <v>1907.33</v>
      </c>
      <c r="L85" t="s">
        <v>19</v>
      </c>
    </row>
    <row r="86" spans="1:12" x14ac:dyDescent="0.3">
      <c r="A86" t="s">
        <v>205</v>
      </c>
      <c r="B86" s="2">
        <v>46017</v>
      </c>
      <c r="C86" t="s">
        <v>13</v>
      </c>
      <c r="D86" t="s">
        <v>39</v>
      </c>
      <c r="E86" t="s">
        <v>32</v>
      </c>
      <c r="F86" t="s">
        <v>71</v>
      </c>
      <c r="G86" t="s">
        <v>28</v>
      </c>
      <c r="H86" t="s">
        <v>206</v>
      </c>
      <c r="I86">
        <v>940.3</v>
      </c>
      <c r="J86">
        <v>0</v>
      </c>
      <c r="K86">
        <v>940.3</v>
      </c>
      <c r="L86" t="s">
        <v>19</v>
      </c>
    </row>
    <row r="87" spans="1:12" x14ac:dyDescent="0.3">
      <c r="A87" t="s">
        <v>207</v>
      </c>
      <c r="B87" s="2">
        <v>46018</v>
      </c>
      <c r="C87" t="s">
        <v>13</v>
      </c>
      <c r="D87" t="s">
        <v>80</v>
      </c>
      <c r="E87" t="s">
        <v>15</v>
      </c>
      <c r="F87" t="s">
        <v>44</v>
      </c>
      <c r="G87" t="s">
        <v>22</v>
      </c>
      <c r="H87" t="s">
        <v>208</v>
      </c>
      <c r="I87">
        <v>0</v>
      </c>
      <c r="J87">
        <v>793</v>
      </c>
      <c r="K87">
        <v>793</v>
      </c>
      <c r="L87" t="s">
        <v>24</v>
      </c>
    </row>
    <row r="88" spans="1:12" x14ac:dyDescent="0.3">
      <c r="A88" t="s">
        <v>209</v>
      </c>
      <c r="B88" s="2">
        <v>46018</v>
      </c>
      <c r="C88" t="s">
        <v>13</v>
      </c>
      <c r="D88" t="s">
        <v>66</v>
      </c>
      <c r="E88" t="s">
        <v>15</v>
      </c>
      <c r="F88" t="s">
        <v>184</v>
      </c>
      <c r="G88" t="s">
        <v>138</v>
      </c>
      <c r="H88" t="s">
        <v>185</v>
      </c>
      <c r="I88">
        <v>529.09</v>
      </c>
      <c r="J88">
        <v>0</v>
      </c>
      <c r="K88">
        <v>529.09</v>
      </c>
      <c r="L88" t="s">
        <v>19</v>
      </c>
    </row>
    <row r="89" spans="1:12" x14ac:dyDescent="0.3">
      <c r="A89" t="s">
        <v>210</v>
      </c>
      <c r="B89" s="2">
        <v>46019</v>
      </c>
      <c r="C89" t="s">
        <v>13</v>
      </c>
      <c r="D89" t="s">
        <v>80</v>
      </c>
      <c r="E89" t="s">
        <v>15</v>
      </c>
      <c r="F89" t="s">
        <v>21</v>
      </c>
      <c r="G89" t="s">
        <v>22</v>
      </c>
      <c r="H89" t="s">
        <v>211</v>
      </c>
      <c r="I89">
        <v>0</v>
      </c>
      <c r="J89">
        <v>742</v>
      </c>
      <c r="K89">
        <v>742</v>
      </c>
      <c r="L89" t="s">
        <v>24</v>
      </c>
    </row>
    <row r="90" spans="1:12" x14ac:dyDescent="0.3">
      <c r="A90" t="s">
        <v>212</v>
      </c>
      <c r="B90" s="2">
        <v>46019</v>
      </c>
      <c r="C90" t="s">
        <v>13</v>
      </c>
      <c r="D90" t="s">
        <v>66</v>
      </c>
      <c r="E90" t="s">
        <v>15</v>
      </c>
      <c r="F90" t="s">
        <v>71</v>
      </c>
      <c r="G90" t="s">
        <v>28</v>
      </c>
      <c r="H90" t="s">
        <v>213</v>
      </c>
      <c r="I90">
        <v>883.78</v>
      </c>
      <c r="J90">
        <v>0</v>
      </c>
      <c r="K90">
        <v>883.78</v>
      </c>
      <c r="L90" t="s">
        <v>19</v>
      </c>
    </row>
    <row r="91" spans="1:12" x14ac:dyDescent="0.3">
      <c r="A91" t="s">
        <v>214</v>
      </c>
      <c r="B91" s="2">
        <v>46020</v>
      </c>
      <c r="C91" t="s">
        <v>13</v>
      </c>
      <c r="D91" t="s">
        <v>108</v>
      </c>
      <c r="E91" t="s">
        <v>32</v>
      </c>
      <c r="F91" t="s">
        <v>21</v>
      </c>
      <c r="G91" t="s">
        <v>22</v>
      </c>
      <c r="H91" t="s">
        <v>215</v>
      </c>
      <c r="I91">
        <v>0</v>
      </c>
      <c r="J91">
        <v>437.5</v>
      </c>
      <c r="K91">
        <v>437.5</v>
      </c>
      <c r="L91" t="s">
        <v>24</v>
      </c>
    </row>
    <row r="92" spans="1:12" x14ac:dyDescent="0.3">
      <c r="A92" t="s">
        <v>216</v>
      </c>
      <c r="B92" s="2">
        <v>46020</v>
      </c>
      <c r="C92" t="s">
        <v>13</v>
      </c>
      <c r="D92" t="s">
        <v>14</v>
      </c>
      <c r="E92" t="s">
        <v>15</v>
      </c>
      <c r="F92" t="s">
        <v>21</v>
      </c>
      <c r="G92" t="s">
        <v>22</v>
      </c>
      <c r="H92" t="s">
        <v>217</v>
      </c>
      <c r="I92">
        <v>0</v>
      </c>
      <c r="J92">
        <v>1060.5</v>
      </c>
      <c r="K92">
        <v>1060.5</v>
      </c>
      <c r="L92" t="s">
        <v>24</v>
      </c>
    </row>
    <row r="93" spans="1:12" x14ac:dyDescent="0.3">
      <c r="A93" t="s">
        <v>218</v>
      </c>
      <c r="B93" s="2">
        <v>46020</v>
      </c>
      <c r="C93" t="s">
        <v>13</v>
      </c>
      <c r="D93" t="s">
        <v>26</v>
      </c>
      <c r="E93" t="s">
        <v>15</v>
      </c>
      <c r="F93" t="s">
        <v>128</v>
      </c>
      <c r="G93" t="s">
        <v>17</v>
      </c>
      <c r="H93" t="s">
        <v>129</v>
      </c>
      <c r="I93">
        <v>1500</v>
      </c>
      <c r="J93">
        <v>0</v>
      </c>
      <c r="K93">
        <v>1500</v>
      </c>
      <c r="L93" t="s">
        <v>19</v>
      </c>
    </row>
    <row r="94" spans="1:12" x14ac:dyDescent="0.3">
      <c r="A94" t="s">
        <v>219</v>
      </c>
      <c r="B94" s="2">
        <v>46020</v>
      </c>
      <c r="C94" t="s">
        <v>13</v>
      </c>
      <c r="D94" t="s">
        <v>66</v>
      </c>
      <c r="E94" t="s">
        <v>15</v>
      </c>
      <c r="F94" t="s">
        <v>178</v>
      </c>
      <c r="G94" t="s">
        <v>138</v>
      </c>
      <c r="H94" t="s">
        <v>220</v>
      </c>
      <c r="I94">
        <v>2800</v>
      </c>
      <c r="J94">
        <v>0</v>
      </c>
      <c r="K94">
        <v>2800</v>
      </c>
      <c r="L94" t="s">
        <v>19</v>
      </c>
    </row>
    <row r="95" spans="1:12" x14ac:dyDescent="0.3">
      <c r="A95" t="s">
        <v>221</v>
      </c>
      <c r="B95" s="2">
        <v>46020</v>
      </c>
      <c r="C95" t="s">
        <v>13</v>
      </c>
      <c r="D95" t="s">
        <v>66</v>
      </c>
      <c r="E95" t="s">
        <v>15</v>
      </c>
      <c r="F95" t="s">
        <v>62</v>
      </c>
      <c r="G95" t="s">
        <v>63</v>
      </c>
      <c r="H95" t="s">
        <v>104</v>
      </c>
      <c r="I95">
        <v>481.09</v>
      </c>
      <c r="J95">
        <v>0</v>
      </c>
      <c r="K95">
        <v>481.09</v>
      </c>
      <c r="L95" t="s">
        <v>19</v>
      </c>
    </row>
    <row r="96" spans="1:12" x14ac:dyDescent="0.3">
      <c r="A96" t="s">
        <v>222</v>
      </c>
      <c r="B96" s="2">
        <v>46020</v>
      </c>
      <c r="C96" t="s">
        <v>13</v>
      </c>
      <c r="D96" t="s">
        <v>43</v>
      </c>
      <c r="E96" t="s">
        <v>32</v>
      </c>
      <c r="F96" t="s">
        <v>16</v>
      </c>
      <c r="G96" t="s">
        <v>17</v>
      </c>
      <c r="H96" t="s">
        <v>18</v>
      </c>
      <c r="I96">
        <v>636.78</v>
      </c>
      <c r="J96">
        <v>0</v>
      </c>
      <c r="K96">
        <v>636.78</v>
      </c>
      <c r="L96" t="s">
        <v>19</v>
      </c>
    </row>
    <row r="97" spans="1:12" x14ac:dyDescent="0.3">
      <c r="A97" t="s">
        <v>223</v>
      </c>
      <c r="B97" s="2">
        <v>46020</v>
      </c>
      <c r="C97" t="s">
        <v>13</v>
      </c>
      <c r="D97" t="s">
        <v>66</v>
      </c>
      <c r="E97" t="s">
        <v>15</v>
      </c>
      <c r="F97" t="s">
        <v>71</v>
      </c>
      <c r="G97" t="s">
        <v>28</v>
      </c>
      <c r="H97" t="s">
        <v>224</v>
      </c>
      <c r="I97">
        <v>598.54999999999995</v>
      </c>
      <c r="J97">
        <v>0</v>
      </c>
      <c r="K97">
        <v>598.54999999999995</v>
      </c>
      <c r="L97" t="s">
        <v>19</v>
      </c>
    </row>
    <row r="98" spans="1:12" x14ac:dyDescent="0.3">
      <c r="A98" t="s">
        <v>225</v>
      </c>
      <c r="B98" s="2">
        <v>46021</v>
      </c>
      <c r="C98" t="s">
        <v>13</v>
      </c>
      <c r="D98" t="s">
        <v>43</v>
      </c>
      <c r="E98" t="s">
        <v>32</v>
      </c>
      <c r="F98" t="s">
        <v>40</v>
      </c>
      <c r="G98" t="s">
        <v>22</v>
      </c>
      <c r="H98" t="s">
        <v>226</v>
      </c>
      <c r="I98">
        <v>0</v>
      </c>
      <c r="J98">
        <v>638.25</v>
      </c>
      <c r="K98">
        <v>638.25</v>
      </c>
      <c r="L98" t="s">
        <v>24</v>
      </c>
    </row>
    <row r="99" spans="1:12" x14ac:dyDescent="0.3">
      <c r="A99" t="s">
        <v>227</v>
      </c>
      <c r="B99" s="2">
        <v>46021</v>
      </c>
      <c r="C99" t="s">
        <v>13</v>
      </c>
      <c r="D99" t="s">
        <v>80</v>
      </c>
      <c r="E99" t="s">
        <v>15</v>
      </c>
      <c r="F99" t="s">
        <v>21</v>
      </c>
      <c r="G99" t="s">
        <v>22</v>
      </c>
      <c r="H99" t="s">
        <v>228</v>
      </c>
      <c r="I99">
        <v>0</v>
      </c>
      <c r="J99">
        <v>994</v>
      </c>
      <c r="K99">
        <v>994</v>
      </c>
      <c r="L99" t="s">
        <v>24</v>
      </c>
    </row>
    <row r="100" spans="1:12" x14ac:dyDescent="0.3">
      <c r="A100" t="s">
        <v>229</v>
      </c>
      <c r="B100" s="2">
        <v>46021</v>
      </c>
      <c r="C100" t="s">
        <v>13</v>
      </c>
      <c r="D100" t="s">
        <v>66</v>
      </c>
      <c r="E100" t="s">
        <v>15</v>
      </c>
      <c r="F100" t="s">
        <v>40</v>
      </c>
      <c r="G100" t="s">
        <v>22</v>
      </c>
      <c r="H100" t="s">
        <v>230</v>
      </c>
      <c r="I100">
        <v>0</v>
      </c>
      <c r="J100">
        <v>676.2</v>
      </c>
      <c r="K100">
        <v>676.2</v>
      </c>
      <c r="L100" t="s">
        <v>24</v>
      </c>
    </row>
    <row r="101" spans="1:12" x14ac:dyDescent="0.3">
      <c r="A101" t="s">
        <v>231</v>
      </c>
      <c r="B101" s="2">
        <v>46022</v>
      </c>
      <c r="C101" t="s">
        <v>13</v>
      </c>
      <c r="D101" t="s">
        <v>108</v>
      </c>
      <c r="E101" t="s">
        <v>32</v>
      </c>
      <c r="F101" t="s">
        <v>21</v>
      </c>
      <c r="G101" t="s">
        <v>22</v>
      </c>
      <c r="H101" t="s">
        <v>232</v>
      </c>
      <c r="I101">
        <v>0</v>
      </c>
      <c r="J101">
        <v>560</v>
      </c>
      <c r="K101">
        <v>560</v>
      </c>
      <c r="L101" t="s">
        <v>24</v>
      </c>
    </row>
    <row r="102" spans="1:12" x14ac:dyDescent="0.3">
      <c r="A102" t="s">
        <v>233</v>
      </c>
      <c r="B102" s="2">
        <v>46023</v>
      </c>
      <c r="C102" t="s">
        <v>234</v>
      </c>
      <c r="D102" t="s">
        <v>26</v>
      </c>
      <c r="E102" t="s">
        <v>15</v>
      </c>
      <c r="F102" t="s">
        <v>40</v>
      </c>
      <c r="G102" t="s">
        <v>22</v>
      </c>
      <c r="H102" t="s">
        <v>235</v>
      </c>
      <c r="I102">
        <v>0</v>
      </c>
      <c r="J102">
        <v>1099.5899999999999</v>
      </c>
      <c r="K102">
        <v>1099.5899999999999</v>
      </c>
      <c r="L102" t="s">
        <v>24</v>
      </c>
    </row>
    <row r="103" spans="1:12" x14ac:dyDescent="0.3">
      <c r="A103" t="s">
        <v>236</v>
      </c>
      <c r="B103" s="2">
        <v>46023</v>
      </c>
      <c r="C103" t="s">
        <v>234</v>
      </c>
      <c r="D103" t="s">
        <v>26</v>
      </c>
      <c r="E103" t="s">
        <v>15</v>
      </c>
      <c r="F103" t="s">
        <v>40</v>
      </c>
      <c r="G103" t="s">
        <v>22</v>
      </c>
      <c r="H103" t="s">
        <v>237</v>
      </c>
      <c r="I103">
        <v>0</v>
      </c>
      <c r="J103">
        <v>543.01</v>
      </c>
      <c r="K103">
        <v>543.01</v>
      </c>
      <c r="L103" t="s">
        <v>24</v>
      </c>
    </row>
    <row r="104" spans="1:12" x14ac:dyDescent="0.3">
      <c r="A104" t="s">
        <v>238</v>
      </c>
      <c r="B104" s="2">
        <v>46024</v>
      </c>
      <c r="C104" t="s">
        <v>234</v>
      </c>
      <c r="D104" t="s">
        <v>80</v>
      </c>
      <c r="E104" t="s">
        <v>15</v>
      </c>
      <c r="F104" t="s">
        <v>21</v>
      </c>
      <c r="G104" t="s">
        <v>22</v>
      </c>
      <c r="H104" t="s">
        <v>146</v>
      </c>
      <c r="I104">
        <v>0</v>
      </c>
      <c r="J104">
        <v>685.15</v>
      </c>
      <c r="K104">
        <v>685.15</v>
      </c>
      <c r="L104" t="s">
        <v>24</v>
      </c>
    </row>
    <row r="105" spans="1:12" x14ac:dyDescent="0.3">
      <c r="A105" t="s">
        <v>239</v>
      </c>
      <c r="B105" s="2">
        <v>46025</v>
      </c>
      <c r="C105" t="s">
        <v>234</v>
      </c>
      <c r="D105" t="s">
        <v>61</v>
      </c>
      <c r="E105" t="s">
        <v>32</v>
      </c>
      <c r="F105" t="s">
        <v>44</v>
      </c>
      <c r="G105" t="s">
        <v>22</v>
      </c>
      <c r="H105" t="s">
        <v>240</v>
      </c>
      <c r="I105">
        <v>0</v>
      </c>
      <c r="J105">
        <v>703.35</v>
      </c>
      <c r="K105">
        <v>703.35</v>
      </c>
      <c r="L105" t="s">
        <v>24</v>
      </c>
    </row>
    <row r="106" spans="1:12" x14ac:dyDescent="0.3">
      <c r="A106" t="s">
        <v>241</v>
      </c>
      <c r="B106" s="2">
        <v>46025</v>
      </c>
      <c r="C106" t="s">
        <v>234</v>
      </c>
      <c r="D106" t="s">
        <v>39</v>
      </c>
      <c r="E106" t="s">
        <v>32</v>
      </c>
      <c r="F106" t="s">
        <v>128</v>
      </c>
      <c r="G106" t="s">
        <v>17</v>
      </c>
      <c r="H106" t="s">
        <v>242</v>
      </c>
      <c r="I106">
        <v>980.48</v>
      </c>
      <c r="J106">
        <v>0</v>
      </c>
      <c r="K106">
        <v>980.48</v>
      </c>
      <c r="L106" t="s">
        <v>19</v>
      </c>
    </row>
    <row r="107" spans="1:12" x14ac:dyDescent="0.3">
      <c r="A107" t="s">
        <v>243</v>
      </c>
      <c r="B107" s="2">
        <v>46025</v>
      </c>
      <c r="C107" t="s">
        <v>234</v>
      </c>
      <c r="D107" t="s">
        <v>26</v>
      </c>
      <c r="E107" t="s">
        <v>15</v>
      </c>
      <c r="F107" t="s">
        <v>159</v>
      </c>
      <c r="G107" t="s">
        <v>28</v>
      </c>
      <c r="H107" t="s">
        <v>244</v>
      </c>
      <c r="I107">
        <v>100</v>
      </c>
      <c r="J107">
        <v>0</v>
      </c>
      <c r="K107">
        <v>100</v>
      </c>
      <c r="L107" t="s">
        <v>19</v>
      </c>
    </row>
    <row r="108" spans="1:12" x14ac:dyDescent="0.3">
      <c r="A108" t="s">
        <v>245</v>
      </c>
      <c r="B108" s="2">
        <v>46026</v>
      </c>
      <c r="C108" t="s">
        <v>234</v>
      </c>
      <c r="D108" t="s">
        <v>49</v>
      </c>
      <c r="E108" t="s">
        <v>32</v>
      </c>
      <c r="F108" t="s">
        <v>21</v>
      </c>
      <c r="G108" t="s">
        <v>22</v>
      </c>
      <c r="H108" t="s">
        <v>246</v>
      </c>
      <c r="I108">
        <v>0</v>
      </c>
      <c r="J108">
        <v>657.61</v>
      </c>
      <c r="K108">
        <v>657.61</v>
      </c>
      <c r="L108" t="s">
        <v>24</v>
      </c>
    </row>
    <row r="109" spans="1:12" x14ac:dyDescent="0.3">
      <c r="A109" t="s">
        <v>247</v>
      </c>
      <c r="B109" s="2">
        <v>46026</v>
      </c>
      <c r="C109" t="s">
        <v>234</v>
      </c>
      <c r="D109" t="s">
        <v>49</v>
      </c>
      <c r="E109" t="s">
        <v>32</v>
      </c>
      <c r="F109" t="s">
        <v>40</v>
      </c>
      <c r="G109" t="s">
        <v>22</v>
      </c>
      <c r="H109" t="s">
        <v>248</v>
      </c>
      <c r="I109">
        <v>0</v>
      </c>
      <c r="J109">
        <v>895.96</v>
      </c>
      <c r="K109">
        <v>895.96</v>
      </c>
      <c r="L109" t="s">
        <v>24</v>
      </c>
    </row>
    <row r="110" spans="1:12" x14ac:dyDescent="0.3">
      <c r="A110" t="s">
        <v>249</v>
      </c>
      <c r="B110" s="2">
        <v>46026</v>
      </c>
      <c r="C110" t="s">
        <v>234</v>
      </c>
      <c r="D110" t="s">
        <v>108</v>
      </c>
      <c r="E110" t="s">
        <v>32</v>
      </c>
      <c r="F110" t="s">
        <v>62</v>
      </c>
      <c r="G110" t="s">
        <v>63</v>
      </c>
      <c r="H110" t="s">
        <v>104</v>
      </c>
      <c r="I110">
        <v>417.08</v>
      </c>
      <c r="J110">
        <v>0</v>
      </c>
      <c r="K110">
        <v>417.08</v>
      </c>
      <c r="L110" t="s">
        <v>19</v>
      </c>
    </row>
    <row r="111" spans="1:12" x14ac:dyDescent="0.3">
      <c r="A111" t="s">
        <v>250</v>
      </c>
      <c r="B111" s="2">
        <v>46027</v>
      </c>
      <c r="C111" t="s">
        <v>234</v>
      </c>
      <c r="D111" t="s">
        <v>26</v>
      </c>
      <c r="E111" t="s">
        <v>15</v>
      </c>
      <c r="F111" t="s">
        <v>40</v>
      </c>
      <c r="G111" t="s">
        <v>22</v>
      </c>
      <c r="H111" t="s">
        <v>251</v>
      </c>
      <c r="I111">
        <v>0</v>
      </c>
      <c r="J111">
        <v>1313.39</v>
      </c>
      <c r="K111">
        <v>1313.39</v>
      </c>
      <c r="L111" t="s">
        <v>24</v>
      </c>
    </row>
    <row r="112" spans="1:12" x14ac:dyDescent="0.3">
      <c r="A112" t="s">
        <v>252</v>
      </c>
      <c r="B112" s="2">
        <v>46027</v>
      </c>
      <c r="C112" t="s">
        <v>234</v>
      </c>
      <c r="D112" t="s">
        <v>43</v>
      </c>
      <c r="E112" t="s">
        <v>32</v>
      </c>
      <c r="F112" t="s">
        <v>21</v>
      </c>
      <c r="G112" t="s">
        <v>22</v>
      </c>
      <c r="H112" t="s">
        <v>253</v>
      </c>
      <c r="I112">
        <v>0</v>
      </c>
      <c r="J112">
        <v>619.73</v>
      </c>
      <c r="K112">
        <v>619.73</v>
      </c>
      <c r="L112" t="s">
        <v>24</v>
      </c>
    </row>
    <row r="113" spans="1:12" x14ac:dyDescent="0.3">
      <c r="A113" t="s">
        <v>254</v>
      </c>
      <c r="B113" s="2">
        <v>46027</v>
      </c>
      <c r="C113" t="s">
        <v>234</v>
      </c>
      <c r="D113" t="s">
        <v>66</v>
      </c>
      <c r="E113" t="s">
        <v>15</v>
      </c>
      <c r="F113" t="s">
        <v>40</v>
      </c>
      <c r="G113" t="s">
        <v>22</v>
      </c>
      <c r="H113" t="s">
        <v>196</v>
      </c>
      <c r="I113">
        <v>0</v>
      </c>
      <c r="J113">
        <v>563.37</v>
      </c>
      <c r="K113">
        <v>563.37</v>
      </c>
      <c r="L113" t="s">
        <v>24</v>
      </c>
    </row>
    <row r="114" spans="1:12" x14ac:dyDescent="0.3">
      <c r="A114" t="s">
        <v>255</v>
      </c>
      <c r="B114" s="2">
        <v>46028</v>
      </c>
      <c r="C114" t="s">
        <v>234</v>
      </c>
      <c r="D114" t="s">
        <v>61</v>
      </c>
      <c r="E114" t="s">
        <v>32</v>
      </c>
      <c r="F114" t="s">
        <v>40</v>
      </c>
      <c r="G114" t="s">
        <v>22</v>
      </c>
      <c r="H114" t="s">
        <v>256</v>
      </c>
      <c r="I114">
        <v>0</v>
      </c>
      <c r="J114">
        <v>919.72</v>
      </c>
      <c r="K114">
        <v>919.72</v>
      </c>
      <c r="L114" t="s">
        <v>24</v>
      </c>
    </row>
    <row r="115" spans="1:12" x14ac:dyDescent="0.3">
      <c r="A115" t="s">
        <v>257</v>
      </c>
      <c r="B115" s="2">
        <v>46028</v>
      </c>
      <c r="C115" t="s">
        <v>234</v>
      </c>
      <c r="D115" t="s">
        <v>39</v>
      </c>
      <c r="E115" t="s">
        <v>32</v>
      </c>
      <c r="F115" t="s">
        <v>62</v>
      </c>
      <c r="G115" t="s">
        <v>63</v>
      </c>
      <c r="H115" t="s">
        <v>258</v>
      </c>
      <c r="I115">
        <v>303.51</v>
      </c>
      <c r="J115">
        <v>0</v>
      </c>
      <c r="K115">
        <v>303.51</v>
      </c>
      <c r="L115" t="s">
        <v>19</v>
      </c>
    </row>
    <row r="116" spans="1:12" x14ac:dyDescent="0.3">
      <c r="A116" t="s">
        <v>259</v>
      </c>
      <c r="B116" s="2">
        <v>46028</v>
      </c>
      <c r="C116" t="s">
        <v>234</v>
      </c>
      <c r="D116" t="s">
        <v>80</v>
      </c>
      <c r="E116" t="s">
        <v>15</v>
      </c>
      <c r="F116" t="s">
        <v>260</v>
      </c>
      <c r="G116" t="s">
        <v>28</v>
      </c>
      <c r="H116" t="s">
        <v>261</v>
      </c>
      <c r="I116">
        <v>219.24</v>
      </c>
      <c r="J116">
        <v>0</v>
      </c>
      <c r="K116">
        <v>219.24</v>
      </c>
      <c r="L116" t="s">
        <v>19</v>
      </c>
    </row>
    <row r="117" spans="1:12" x14ac:dyDescent="0.3">
      <c r="A117" t="s">
        <v>262</v>
      </c>
      <c r="B117" s="2">
        <v>46029</v>
      </c>
      <c r="C117" t="s">
        <v>234</v>
      </c>
      <c r="D117" t="s">
        <v>26</v>
      </c>
      <c r="E117" t="s">
        <v>15</v>
      </c>
      <c r="F117" t="s">
        <v>44</v>
      </c>
      <c r="G117" t="s">
        <v>22</v>
      </c>
      <c r="H117" t="s">
        <v>263</v>
      </c>
      <c r="I117">
        <v>0</v>
      </c>
      <c r="J117">
        <v>808.85</v>
      </c>
      <c r="K117">
        <v>808.85</v>
      </c>
      <c r="L117" t="s">
        <v>24</v>
      </c>
    </row>
    <row r="118" spans="1:12" x14ac:dyDescent="0.3">
      <c r="A118" t="s">
        <v>264</v>
      </c>
      <c r="B118" s="2">
        <v>46029</v>
      </c>
      <c r="C118" t="s">
        <v>234</v>
      </c>
      <c r="D118" t="s">
        <v>66</v>
      </c>
      <c r="E118" t="s">
        <v>15</v>
      </c>
      <c r="F118" t="s">
        <v>16</v>
      </c>
      <c r="G118" t="s">
        <v>17</v>
      </c>
      <c r="H118" t="s">
        <v>18</v>
      </c>
      <c r="I118">
        <v>781.12</v>
      </c>
      <c r="J118">
        <v>0</v>
      </c>
      <c r="K118">
        <v>781.12</v>
      </c>
      <c r="L118" t="s">
        <v>19</v>
      </c>
    </row>
    <row r="119" spans="1:12" x14ac:dyDescent="0.3">
      <c r="A119" t="s">
        <v>265</v>
      </c>
      <c r="B119" s="2">
        <v>46030</v>
      </c>
      <c r="C119" t="s">
        <v>234</v>
      </c>
      <c r="D119" t="s">
        <v>14</v>
      </c>
      <c r="E119" t="s">
        <v>15</v>
      </c>
      <c r="F119" t="s">
        <v>81</v>
      </c>
      <c r="G119" t="s">
        <v>28</v>
      </c>
      <c r="H119" t="s">
        <v>266</v>
      </c>
      <c r="I119">
        <v>148.87</v>
      </c>
      <c r="J119">
        <v>0</v>
      </c>
      <c r="K119">
        <v>148.87</v>
      </c>
      <c r="L119" t="s">
        <v>19</v>
      </c>
    </row>
    <row r="120" spans="1:12" x14ac:dyDescent="0.3">
      <c r="A120" t="s">
        <v>267</v>
      </c>
      <c r="B120" s="2">
        <v>46030</v>
      </c>
      <c r="C120" t="s">
        <v>234</v>
      </c>
      <c r="D120" t="s">
        <v>108</v>
      </c>
      <c r="E120" t="s">
        <v>32</v>
      </c>
      <c r="F120" t="s">
        <v>81</v>
      </c>
      <c r="G120" t="s">
        <v>28</v>
      </c>
      <c r="H120" t="s">
        <v>82</v>
      </c>
      <c r="I120">
        <v>139.76</v>
      </c>
      <c r="J120">
        <v>0</v>
      </c>
      <c r="K120">
        <v>139.76</v>
      </c>
      <c r="L120" t="s">
        <v>19</v>
      </c>
    </row>
    <row r="121" spans="1:12" x14ac:dyDescent="0.3">
      <c r="A121" t="s">
        <v>268</v>
      </c>
      <c r="B121" s="2">
        <v>46032</v>
      </c>
      <c r="C121" t="s">
        <v>234</v>
      </c>
      <c r="D121" t="s">
        <v>14</v>
      </c>
      <c r="E121" t="s">
        <v>15</v>
      </c>
      <c r="F121" t="s">
        <v>44</v>
      </c>
      <c r="G121" t="s">
        <v>22</v>
      </c>
      <c r="H121" t="s">
        <v>269</v>
      </c>
      <c r="I121">
        <v>0</v>
      </c>
      <c r="J121">
        <v>824.84</v>
      </c>
      <c r="K121">
        <v>824.84</v>
      </c>
      <c r="L121" t="s">
        <v>24</v>
      </c>
    </row>
    <row r="122" spans="1:12" x14ac:dyDescent="0.3">
      <c r="A122" t="s">
        <v>270</v>
      </c>
      <c r="B122" s="2">
        <v>46032</v>
      </c>
      <c r="C122" t="s">
        <v>234</v>
      </c>
      <c r="D122" t="s">
        <v>80</v>
      </c>
      <c r="E122" t="s">
        <v>15</v>
      </c>
      <c r="F122" t="s">
        <v>44</v>
      </c>
      <c r="G122" t="s">
        <v>22</v>
      </c>
      <c r="H122" t="s">
        <v>271</v>
      </c>
      <c r="I122">
        <v>0</v>
      </c>
      <c r="J122">
        <v>757.7</v>
      </c>
      <c r="K122">
        <v>757.7</v>
      </c>
      <c r="L122" t="s">
        <v>24</v>
      </c>
    </row>
    <row r="123" spans="1:12" x14ac:dyDescent="0.3">
      <c r="A123" t="s">
        <v>272</v>
      </c>
      <c r="B123" s="2">
        <v>46032</v>
      </c>
      <c r="C123" t="s">
        <v>234</v>
      </c>
      <c r="D123" t="s">
        <v>66</v>
      </c>
      <c r="E123" t="s">
        <v>15</v>
      </c>
      <c r="F123" t="s">
        <v>21</v>
      </c>
      <c r="G123" t="s">
        <v>22</v>
      </c>
      <c r="H123" t="s">
        <v>273</v>
      </c>
      <c r="I123">
        <v>0</v>
      </c>
      <c r="J123">
        <v>636.95000000000005</v>
      </c>
      <c r="K123">
        <v>636.95000000000005</v>
      </c>
      <c r="L123" t="s">
        <v>24</v>
      </c>
    </row>
    <row r="124" spans="1:12" x14ac:dyDescent="0.3">
      <c r="A124" t="s">
        <v>274</v>
      </c>
      <c r="B124" s="2">
        <v>46032</v>
      </c>
      <c r="C124" t="s">
        <v>234</v>
      </c>
      <c r="D124" t="s">
        <v>49</v>
      </c>
      <c r="E124" t="s">
        <v>32</v>
      </c>
      <c r="F124" t="s">
        <v>137</v>
      </c>
      <c r="G124" t="s">
        <v>138</v>
      </c>
      <c r="H124" t="s">
        <v>139</v>
      </c>
      <c r="I124">
        <v>161.21</v>
      </c>
      <c r="J124">
        <v>0</v>
      </c>
      <c r="K124">
        <v>161.21</v>
      </c>
      <c r="L124" t="s">
        <v>19</v>
      </c>
    </row>
    <row r="125" spans="1:12" x14ac:dyDescent="0.3">
      <c r="A125" t="s">
        <v>275</v>
      </c>
      <c r="B125" s="2">
        <v>46032</v>
      </c>
      <c r="C125" t="s">
        <v>234</v>
      </c>
      <c r="D125" t="s">
        <v>66</v>
      </c>
      <c r="E125" t="s">
        <v>15</v>
      </c>
      <c r="F125" t="s">
        <v>62</v>
      </c>
      <c r="G125" t="s">
        <v>63</v>
      </c>
      <c r="H125" t="s">
        <v>64</v>
      </c>
      <c r="I125">
        <v>306.29000000000002</v>
      </c>
      <c r="J125">
        <v>0</v>
      </c>
      <c r="K125">
        <v>306.29000000000002</v>
      </c>
      <c r="L125" t="s">
        <v>19</v>
      </c>
    </row>
    <row r="126" spans="1:12" x14ac:dyDescent="0.3">
      <c r="A126" t="s">
        <v>276</v>
      </c>
      <c r="B126" s="2">
        <v>46033</v>
      </c>
      <c r="C126" t="s">
        <v>234</v>
      </c>
      <c r="D126" t="s">
        <v>43</v>
      </c>
      <c r="E126" t="s">
        <v>32</v>
      </c>
      <c r="F126" t="s">
        <v>40</v>
      </c>
      <c r="G126" t="s">
        <v>22</v>
      </c>
      <c r="H126" t="s">
        <v>277</v>
      </c>
      <c r="I126">
        <v>0</v>
      </c>
      <c r="J126">
        <v>420.83</v>
      </c>
      <c r="K126">
        <v>420.83</v>
      </c>
      <c r="L126" t="s">
        <v>24</v>
      </c>
    </row>
    <row r="127" spans="1:12" x14ac:dyDescent="0.3">
      <c r="A127" t="s">
        <v>278</v>
      </c>
      <c r="B127" s="2">
        <v>46033</v>
      </c>
      <c r="C127" t="s">
        <v>234</v>
      </c>
      <c r="D127" t="s">
        <v>14</v>
      </c>
      <c r="E127" t="s">
        <v>15</v>
      </c>
      <c r="F127" t="s">
        <v>21</v>
      </c>
      <c r="G127" t="s">
        <v>22</v>
      </c>
      <c r="H127" t="s">
        <v>279</v>
      </c>
      <c r="I127">
        <v>0</v>
      </c>
      <c r="J127">
        <v>991.57</v>
      </c>
      <c r="K127">
        <v>991.57</v>
      </c>
      <c r="L127" t="s">
        <v>24</v>
      </c>
    </row>
    <row r="128" spans="1:12" x14ac:dyDescent="0.3">
      <c r="A128" t="s">
        <v>280</v>
      </c>
      <c r="B128" s="2">
        <v>46033</v>
      </c>
      <c r="C128" t="s">
        <v>234</v>
      </c>
      <c r="D128" t="s">
        <v>80</v>
      </c>
      <c r="E128" t="s">
        <v>15</v>
      </c>
      <c r="F128" t="s">
        <v>27</v>
      </c>
      <c r="G128" t="s">
        <v>28</v>
      </c>
      <c r="H128" t="s">
        <v>67</v>
      </c>
      <c r="I128">
        <v>431.92</v>
      </c>
      <c r="J128">
        <v>0</v>
      </c>
      <c r="K128">
        <v>431.92</v>
      </c>
      <c r="L128" t="s">
        <v>19</v>
      </c>
    </row>
    <row r="129" spans="1:12" x14ac:dyDescent="0.3">
      <c r="A129" t="s">
        <v>281</v>
      </c>
      <c r="B129" s="2">
        <v>46035</v>
      </c>
      <c r="C129" t="s">
        <v>234</v>
      </c>
      <c r="D129" t="s">
        <v>80</v>
      </c>
      <c r="E129" t="s">
        <v>15</v>
      </c>
      <c r="F129" t="s">
        <v>44</v>
      </c>
      <c r="G129" t="s">
        <v>22</v>
      </c>
      <c r="H129" t="s">
        <v>282</v>
      </c>
      <c r="I129">
        <v>0</v>
      </c>
      <c r="J129">
        <v>802.46</v>
      </c>
      <c r="K129">
        <v>802.46</v>
      </c>
      <c r="L129" t="s">
        <v>24</v>
      </c>
    </row>
    <row r="130" spans="1:12" x14ac:dyDescent="0.3">
      <c r="A130" t="s">
        <v>283</v>
      </c>
      <c r="B130" s="2">
        <v>46035</v>
      </c>
      <c r="C130" t="s">
        <v>234</v>
      </c>
      <c r="D130" t="s">
        <v>26</v>
      </c>
      <c r="E130" t="s">
        <v>15</v>
      </c>
      <c r="F130" t="s">
        <v>52</v>
      </c>
      <c r="G130" t="s">
        <v>28</v>
      </c>
      <c r="H130" t="s">
        <v>284</v>
      </c>
      <c r="I130">
        <v>131.11000000000001</v>
      </c>
      <c r="J130">
        <v>0</v>
      </c>
      <c r="K130">
        <v>131.11000000000001</v>
      </c>
      <c r="L130" t="s">
        <v>19</v>
      </c>
    </row>
    <row r="131" spans="1:12" x14ac:dyDescent="0.3">
      <c r="A131" t="s">
        <v>285</v>
      </c>
      <c r="B131" s="2">
        <v>46036</v>
      </c>
      <c r="C131" t="s">
        <v>234</v>
      </c>
      <c r="D131" t="s">
        <v>80</v>
      </c>
      <c r="E131" t="s">
        <v>15</v>
      </c>
      <c r="F131" t="s">
        <v>40</v>
      </c>
      <c r="G131" t="s">
        <v>22</v>
      </c>
      <c r="H131" t="s">
        <v>286</v>
      </c>
      <c r="I131">
        <v>0</v>
      </c>
      <c r="J131">
        <v>797.54</v>
      </c>
      <c r="K131">
        <v>797.54</v>
      </c>
      <c r="L131" t="s">
        <v>24</v>
      </c>
    </row>
    <row r="132" spans="1:12" x14ac:dyDescent="0.3">
      <c r="A132" t="s">
        <v>287</v>
      </c>
      <c r="B132" s="2">
        <v>46036</v>
      </c>
      <c r="C132" t="s">
        <v>234</v>
      </c>
      <c r="D132" t="s">
        <v>80</v>
      </c>
      <c r="E132" t="s">
        <v>15</v>
      </c>
      <c r="F132" t="s">
        <v>40</v>
      </c>
      <c r="G132" t="s">
        <v>22</v>
      </c>
      <c r="H132" t="s">
        <v>288</v>
      </c>
      <c r="I132">
        <v>0</v>
      </c>
      <c r="J132">
        <v>824.69</v>
      </c>
      <c r="K132">
        <v>824.69</v>
      </c>
      <c r="L132" t="s">
        <v>24</v>
      </c>
    </row>
    <row r="133" spans="1:12" x14ac:dyDescent="0.3">
      <c r="A133" t="s">
        <v>289</v>
      </c>
      <c r="B133" s="2">
        <v>46036</v>
      </c>
      <c r="C133" t="s">
        <v>234</v>
      </c>
      <c r="D133" t="s">
        <v>26</v>
      </c>
      <c r="E133" t="s">
        <v>15</v>
      </c>
      <c r="F133" t="s">
        <v>21</v>
      </c>
      <c r="G133" t="s">
        <v>22</v>
      </c>
      <c r="H133" t="s">
        <v>290</v>
      </c>
      <c r="I133">
        <v>0</v>
      </c>
      <c r="J133">
        <v>895.17</v>
      </c>
      <c r="K133">
        <v>895.17</v>
      </c>
      <c r="L133" t="s">
        <v>24</v>
      </c>
    </row>
    <row r="134" spans="1:12" x14ac:dyDescent="0.3">
      <c r="A134" t="s">
        <v>291</v>
      </c>
      <c r="B134" s="2">
        <v>46036</v>
      </c>
      <c r="C134" t="s">
        <v>234</v>
      </c>
      <c r="D134" t="s">
        <v>66</v>
      </c>
      <c r="E134" t="s">
        <v>15</v>
      </c>
      <c r="F134" t="s">
        <v>159</v>
      </c>
      <c r="G134" t="s">
        <v>28</v>
      </c>
      <c r="H134" t="s">
        <v>160</v>
      </c>
      <c r="I134">
        <v>300</v>
      </c>
      <c r="J134">
        <v>0</v>
      </c>
      <c r="K134">
        <v>300</v>
      </c>
      <c r="L134" t="s">
        <v>19</v>
      </c>
    </row>
    <row r="135" spans="1:12" x14ac:dyDescent="0.3">
      <c r="A135" t="s">
        <v>292</v>
      </c>
      <c r="B135" s="2">
        <v>46037</v>
      </c>
      <c r="C135" t="s">
        <v>234</v>
      </c>
      <c r="D135" t="s">
        <v>66</v>
      </c>
      <c r="E135" t="s">
        <v>15</v>
      </c>
      <c r="F135" t="s">
        <v>40</v>
      </c>
      <c r="G135" t="s">
        <v>22</v>
      </c>
      <c r="H135" t="s">
        <v>293</v>
      </c>
      <c r="I135">
        <v>0</v>
      </c>
      <c r="J135">
        <v>573.54999999999995</v>
      </c>
      <c r="K135">
        <v>573.54999999999995</v>
      </c>
      <c r="L135" t="s">
        <v>24</v>
      </c>
    </row>
    <row r="136" spans="1:12" x14ac:dyDescent="0.3">
      <c r="A136" t="s">
        <v>294</v>
      </c>
      <c r="B136" s="2">
        <v>46037</v>
      </c>
      <c r="C136" t="s">
        <v>234</v>
      </c>
      <c r="D136" t="s">
        <v>26</v>
      </c>
      <c r="E136" t="s">
        <v>15</v>
      </c>
      <c r="F136" t="s">
        <v>40</v>
      </c>
      <c r="G136" t="s">
        <v>22</v>
      </c>
      <c r="H136" t="s">
        <v>295</v>
      </c>
      <c r="I136">
        <v>0</v>
      </c>
      <c r="J136">
        <v>709.3</v>
      </c>
      <c r="K136">
        <v>709.3</v>
      </c>
      <c r="L136" t="s">
        <v>24</v>
      </c>
    </row>
    <row r="137" spans="1:12" x14ac:dyDescent="0.3">
      <c r="A137" t="s">
        <v>296</v>
      </c>
      <c r="B137" s="2">
        <v>46037</v>
      </c>
      <c r="C137" t="s">
        <v>234</v>
      </c>
      <c r="D137" t="s">
        <v>26</v>
      </c>
      <c r="E137" t="s">
        <v>15</v>
      </c>
      <c r="F137" t="s">
        <v>44</v>
      </c>
      <c r="G137" t="s">
        <v>22</v>
      </c>
      <c r="H137" t="s">
        <v>263</v>
      </c>
      <c r="I137">
        <v>0</v>
      </c>
      <c r="J137">
        <v>808.85</v>
      </c>
      <c r="K137">
        <v>808.85</v>
      </c>
      <c r="L137" t="s">
        <v>24</v>
      </c>
    </row>
    <row r="138" spans="1:12" x14ac:dyDescent="0.3">
      <c r="A138" t="s">
        <v>297</v>
      </c>
      <c r="B138" s="2">
        <v>46037</v>
      </c>
      <c r="C138" t="s">
        <v>234</v>
      </c>
      <c r="D138" t="s">
        <v>49</v>
      </c>
      <c r="E138" t="s">
        <v>32</v>
      </c>
      <c r="F138" t="s">
        <v>154</v>
      </c>
      <c r="G138" t="s">
        <v>17</v>
      </c>
      <c r="H138" t="s">
        <v>200</v>
      </c>
      <c r="I138">
        <v>329.33</v>
      </c>
      <c r="J138">
        <v>0</v>
      </c>
      <c r="K138">
        <v>329.33</v>
      </c>
      <c r="L138" t="s">
        <v>19</v>
      </c>
    </row>
    <row r="139" spans="1:12" x14ac:dyDescent="0.3">
      <c r="A139" t="s">
        <v>298</v>
      </c>
      <c r="B139" s="2">
        <v>46037</v>
      </c>
      <c r="C139" t="s">
        <v>234</v>
      </c>
      <c r="D139" t="s">
        <v>80</v>
      </c>
      <c r="E139" t="s">
        <v>15</v>
      </c>
      <c r="F139" t="s">
        <v>76</v>
      </c>
      <c r="G139" t="s">
        <v>63</v>
      </c>
      <c r="H139" t="s">
        <v>144</v>
      </c>
      <c r="I139">
        <v>1642.9</v>
      </c>
      <c r="J139">
        <v>0</v>
      </c>
      <c r="K139">
        <v>1642.9</v>
      </c>
      <c r="L139" t="s">
        <v>19</v>
      </c>
    </row>
    <row r="140" spans="1:12" x14ac:dyDescent="0.3">
      <c r="A140" t="s">
        <v>299</v>
      </c>
      <c r="B140" s="2">
        <v>46038</v>
      </c>
      <c r="C140" t="s">
        <v>234</v>
      </c>
      <c r="D140" t="s">
        <v>39</v>
      </c>
      <c r="E140" t="s">
        <v>32</v>
      </c>
      <c r="F140" t="s">
        <v>21</v>
      </c>
      <c r="G140" t="s">
        <v>22</v>
      </c>
      <c r="H140" t="s">
        <v>300</v>
      </c>
      <c r="I140">
        <v>0</v>
      </c>
      <c r="J140">
        <v>1060.43</v>
      </c>
      <c r="K140">
        <v>1060.43</v>
      </c>
      <c r="L140" t="s">
        <v>24</v>
      </c>
    </row>
    <row r="141" spans="1:12" x14ac:dyDescent="0.3">
      <c r="A141" t="s">
        <v>301</v>
      </c>
      <c r="B141" s="2">
        <v>46038</v>
      </c>
      <c r="C141" t="s">
        <v>234</v>
      </c>
      <c r="D141" t="s">
        <v>49</v>
      </c>
      <c r="E141" t="s">
        <v>32</v>
      </c>
      <c r="F141" t="s">
        <v>44</v>
      </c>
      <c r="G141" t="s">
        <v>22</v>
      </c>
      <c r="H141" t="s">
        <v>302</v>
      </c>
      <c r="I141">
        <v>0</v>
      </c>
      <c r="J141">
        <v>617.03</v>
      </c>
      <c r="K141">
        <v>617.03</v>
      </c>
      <c r="L141" t="s">
        <v>24</v>
      </c>
    </row>
    <row r="142" spans="1:12" x14ac:dyDescent="0.3">
      <c r="A142" t="s">
        <v>303</v>
      </c>
      <c r="B142" s="2">
        <v>46038</v>
      </c>
      <c r="C142" t="s">
        <v>234</v>
      </c>
      <c r="D142" t="s">
        <v>26</v>
      </c>
      <c r="E142" t="s">
        <v>15</v>
      </c>
      <c r="F142" t="s">
        <v>44</v>
      </c>
      <c r="G142" t="s">
        <v>22</v>
      </c>
      <c r="H142" t="s">
        <v>304</v>
      </c>
      <c r="I142">
        <v>0</v>
      </c>
      <c r="J142">
        <v>527.51</v>
      </c>
      <c r="K142">
        <v>527.51</v>
      </c>
      <c r="L142" t="s">
        <v>24</v>
      </c>
    </row>
    <row r="143" spans="1:12" x14ac:dyDescent="0.3">
      <c r="A143" t="s">
        <v>305</v>
      </c>
      <c r="B143" s="2">
        <v>46039</v>
      </c>
      <c r="C143" t="s">
        <v>234</v>
      </c>
      <c r="D143" t="s">
        <v>66</v>
      </c>
      <c r="E143" t="s">
        <v>15</v>
      </c>
      <c r="F143" t="s">
        <v>21</v>
      </c>
      <c r="G143" t="s">
        <v>22</v>
      </c>
      <c r="H143" t="s">
        <v>306</v>
      </c>
      <c r="I143">
        <v>0</v>
      </c>
      <c r="J143">
        <v>843.53</v>
      </c>
      <c r="K143">
        <v>843.53</v>
      </c>
      <c r="L143" t="s">
        <v>24</v>
      </c>
    </row>
    <row r="144" spans="1:12" x14ac:dyDescent="0.3">
      <c r="A144" t="s">
        <v>307</v>
      </c>
      <c r="B144" s="2">
        <v>46039</v>
      </c>
      <c r="C144" t="s">
        <v>234</v>
      </c>
      <c r="D144" t="s">
        <v>108</v>
      </c>
      <c r="E144" t="s">
        <v>32</v>
      </c>
      <c r="F144" t="s">
        <v>44</v>
      </c>
      <c r="G144" t="s">
        <v>22</v>
      </c>
      <c r="H144" t="s">
        <v>308</v>
      </c>
      <c r="I144">
        <v>0</v>
      </c>
      <c r="J144">
        <v>466.77</v>
      </c>
      <c r="K144">
        <v>466.77</v>
      </c>
      <c r="L144" t="s">
        <v>24</v>
      </c>
    </row>
    <row r="145" spans="1:12" x14ac:dyDescent="0.3">
      <c r="A145" t="s">
        <v>309</v>
      </c>
      <c r="B145" s="2">
        <v>46039</v>
      </c>
      <c r="C145" t="s">
        <v>234</v>
      </c>
      <c r="D145" t="s">
        <v>43</v>
      </c>
      <c r="E145" t="s">
        <v>32</v>
      </c>
      <c r="F145" t="s">
        <v>76</v>
      </c>
      <c r="G145" t="s">
        <v>63</v>
      </c>
      <c r="H145" t="s">
        <v>162</v>
      </c>
      <c r="I145">
        <v>1630.2</v>
      </c>
      <c r="J145">
        <v>0</v>
      </c>
      <c r="K145">
        <v>1630.2</v>
      </c>
      <c r="L145" t="s">
        <v>19</v>
      </c>
    </row>
    <row r="146" spans="1:12" x14ac:dyDescent="0.3">
      <c r="A146" t="s">
        <v>310</v>
      </c>
      <c r="B146" s="2">
        <v>46039</v>
      </c>
      <c r="C146" t="s">
        <v>234</v>
      </c>
      <c r="D146" t="s">
        <v>80</v>
      </c>
      <c r="E146" t="s">
        <v>15</v>
      </c>
      <c r="F146" t="s">
        <v>178</v>
      </c>
      <c r="G146" t="s">
        <v>138</v>
      </c>
      <c r="H146" t="s">
        <v>311</v>
      </c>
      <c r="I146">
        <v>2273.83</v>
      </c>
      <c r="J146">
        <v>0</v>
      </c>
      <c r="K146">
        <v>2273.83</v>
      </c>
      <c r="L146" t="s">
        <v>19</v>
      </c>
    </row>
    <row r="147" spans="1:12" x14ac:dyDescent="0.3">
      <c r="A147" t="s">
        <v>312</v>
      </c>
      <c r="B147" s="2">
        <v>46040</v>
      </c>
      <c r="C147" t="s">
        <v>234</v>
      </c>
      <c r="D147" t="s">
        <v>14</v>
      </c>
      <c r="E147" t="s">
        <v>15</v>
      </c>
      <c r="F147" t="s">
        <v>21</v>
      </c>
      <c r="G147" t="s">
        <v>22</v>
      </c>
      <c r="H147" t="s">
        <v>313</v>
      </c>
      <c r="I147">
        <v>0</v>
      </c>
      <c r="J147">
        <v>1094.8599999999999</v>
      </c>
      <c r="K147">
        <v>1094.8599999999999</v>
      </c>
      <c r="L147" t="s">
        <v>24</v>
      </c>
    </row>
    <row r="148" spans="1:12" x14ac:dyDescent="0.3">
      <c r="A148" t="s">
        <v>314</v>
      </c>
      <c r="B148" s="2">
        <v>46040</v>
      </c>
      <c r="C148" t="s">
        <v>234</v>
      </c>
      <c r="D148" t="s">
        <v>26</v>
      </c>
      <c r="E148" t="s">
        <v>15</v>
      </c>
      <c r="F148" t="s">
        <v>40</v>
      </c>
      <c r="G148" t="s">
        <v>22</v>
      </c>
      <c r="H148" t="s">
        <v>315</v>
      </c>
      <c r="I148">
        <v>0</v>
      </c>
      <c r="J148">
        <v>872.2</v>
      </c>
      <c r="K148">
        <v>872.2</v>
      </c>
      <c r="L148" t="s">
        <v>24</v>
      </c>
    </row>
    <row r="149" spans="1:12" x14ac:dyDescent="0.3">
      <c r="A149" t="s">
        <v>316</v>
      </c>
      <c r="B149" s="2">
        <v>46040</v>
      </c>
      <c r="C149" t="s">
        <v>234</v>
      </c>
      <c r="D149" t="s">
        <v>80</v>
      </c>
      <c r="E149" t="s">
        <v>15</v>
      </c>
      <c r="F149" t="s">
        <v>76</v>
      </c>
      <c r="G149" t="s">
        <v>63</v>
      </c>
      <c r="H149" t="s">
        <v>162</v>
      </c>
      <c r="I149">
        <v>2286.62</v>
      </c>
      <c r="J149">
        <v>0</v>
      </c>
      <c r="K149">
        <v>2286.62</v>
      </c>
      <c r="L149" t="s">
        <v>19</v>
      </c>
    </row>
    <row r="150" spans="1:12" x14ac:dyDescent="0.3">
      <c r="A150" t="s">
        <v>317</v>
      </c>
      <c r="B150" s="2">
        <v>46040</v>
      </c>
      <c r="C150" t="s">
        <v>234</v>
      </c>
      <c r="D150" t="s">
        <v>66</v>
      </c>
      <c r="E150" t="s">
        <v>15</v>
      </c>
      <c r="F150" t="s">
        <v>33</v>
      </c>
      <c r="G150" t="s">
        <v>28</v>
      </c>
      <c r="H150" t="s">
        <v>318</v>
      </c>
      <c r="I150">
        <v>166.16</v>
      </c>
      <c r="J150">
        <v>0</v>
      </c>
      <c r="K150">
        <v>166.16</v>
      </c>
      <c r="L150" t="s">
        <v>19</v>
      </c>
    </row>
    <row r="151" spans="1:12" x14ac:dyDescent="0.3">
      <c r="A151" t="s">
        <v>319</v>
      </c>
      <c r="B151" s="2">
        <v>46041</v>
      </c>
      <c r="C151" t="s">
        <v>234</v>
      </c>
      <c r="D151" t="s">
        <v>49</v>
      </c>
      <c r="E151" t="s">
        <v>32</v>
      </c>
      <c r="F151" t="s">
        <v>21</v>
      </c>
      <c r="G151" t="s">
        <v>22</v>
      </c>
      <c r="H151" t="s">
        <v>320</v>
      </c>
      <c r="I151">
        <v>0</v>
      </c>
      <c r="J151">
        <v>791.88</v>
      </c>
      <c r="K151">
        <v>791.88</v>
      </c>
      <c r="L151" t="s">
        <v>24</v>
      </c>
    </row>
    <row r="152" spans="1:12" x14ac:dyDescent="0.3">
      <c r="A152" t="s">
        <v>321</v>
      </c>
      <c r="B152" s="2">
        <v>46041</v>
      </c>
      <c r="C152" t="s">
        <v>234</v>
      </c>
      <c r="D152" t="s">
        <v>43</v>
      </c>
      <c r="E152" t="s">
        <v>32</v>
      </c>
      <c r="F152" t="s">
        <v>40</v>
      </c>
      <c r="G152" t="s">
        <v>22</v>
      </c>
      <c r="H152" t="s">
        <v>322</v>
      </c>
      <c r="I152">
        <v>0</v>
      </c>
      <c r="J152">
        <v>865.41</v>
      </c>
      <c r="K152">
        <v>865.41</v>
      </c>
      <c r="L152" t="s">
        <v>24</v>
      </c>
    </row>
    <row r="153" spans="1:12" x14ac:dyDescent="0.3">
      <c r="A153" t="s">
        <v>323</v>
      </c>
      <c r="B153" s="2">
        <v>46041</v>
      </c>
      <c r="C153" t="s">
        <v>234</v>
      </c>
      <c r="D153" t="s">
        <v>31</v>
      </c>
      <c r="E153" t="s">
        <v>32</v>
      </c>
      <c r="F153" t="s">
        <v>184</v>
      </c>
      <c r="G153" t="s">
        <v>138</v>
      </c>
      <c r="H153" t="s">
        <v>324</v>
      </c>
      <c r="I153">
        <v>421.45</v>
      </c>
      <c r="J153">
        <v>0</v>
      </c>
      <c r="K153">
        <v>421.45</v>
      </c>
      <c r="L153" t="s">
        <v>19</v>
      </c>
    </row>
    <row r="154" spans="1:12" x14ac:dyDescent="0.3">
      <c r="A154" t="s">
        <v>325</v>
      </c>
      <c r="B154" s="2">
        <v>46042</v>
      </c>
      <c r="C154" t="s">
        <v>234</v>
      </c>
      <c r="D154" t="s">
        <v>39</v>
      </c>
      <c r="E154" t="s">
        <v>32</v>
      </c>
      <c r="F154" t="s">
        <v>16</v>
      </c>
      <c r="G154" t="s">
        <v>17</v>
      </c>
      <c r="H154" t="s">
        <v>59</v>
      </c>
      <c r="I154">
        <v>759.99</v>
      </c>
      <c r="J154">
        <v>0</v>
      </c>
      <c r="K154">
        <v>759.99</v>
      </c>
      <c r="L154" t="s">
        <v>19</v>
      </c>
    </row>
    <row r="155" spans="1:12" x14ac:dyDescent="0.3">
      <c r="A155" t="s">
        <v>326</v>
      </c>
      <c r="B155" s="2">
        <v>46043</v>
      </c>
      <c r="C155" t="s">
        <v>234</v>
      </c>
      <c r="D155" t="s">
        <v>80</v>
      </c>
      <c r="E155" t="s">
        <v>15</v>
      </c>
      <c r="F155" t="s">
        <v>21</v>
      </c>
      <c r="G155" t="s">
        <v>22</v>
      </c>
      <c r="H155" t="s">
        <v>327</v>
      </c>
      <c r="I155">
        <v>0</v>
      </c>
      <c r="J155">
        <v>754.01</v>
      </c>
      <c r="K155">
        <v>754.01</v>
      </c>
      <c r="L155" t="s">
        <v>24</v>
      </c>
    </row>
    <row r="156" spans="1:12" x14ac:dyDescent="0.3">
      <c r="A156" t="s">
        <v>328</v>
      </c>
      <c r="B156" s="2">
        <v>46043</v>
      </c>
      <c r="C156" t="s">
        <v>234</v>
      </c>
      <c r="D156" t="s">
        <v>31</v>
      </c>
      <c r="E156" t="s">
        <v>32</v>
      </c>
      <c r="F156" t="s">
        <v>260</v>
      </c>
      <c r="G156" t="s">
        <v>28</v>
      </c>
      <c r="H156" t="s">
        <v>329</v>
      </c>
      <c r="I156">
        <v>243.35</v>
      </c>
      <c r="J156">
        <v>0</v>
      </c>
      <c r="K156">
        <v>243.35</v>
      </c>
      <c r="L156" t="s">
        <v>19</v>
      </c>
    </row>
    <row r="157" spans="1:12" x14ac:dyDescent="0.3">
      <c r="A157" t="s">
        <v>330</v>
      </c>
      <c r="B157" s="2">
        <v>46044</v>
      </c>
      <c r="C157" t="s">
        <v>234</v>
      </c>
      <c r="D157" t="s">
        <v>80</v>
      </c>
      <c r="E157" t="s">
        <v>15</v>
      </c>
      <c r="F157" t="s">
        <v>44</v>
      </c>
      <c r="G157" t="s">
        <v>22</v>
      </c>
      <c r="H157" t="s">
        <v>331</v>
      </c>
      <c r="I157">
        <v>0</v>
      </c>
      <c r="J157">
        <v>495.54</v>
      </c>
      <c r="K157">
        <v>495.54</v>
      </c>
      <c r="L157" t="s">
        <v>24</v>
      </c>
    </row>
    <row r="158" spans="1:12" x14ac:dyDescent="0.3">
      <c r="A158" t="s">
        <v>332</v>
      </c>
      <c r="B158" s="2">
        <v>46044</v>
      </c>
      <c r="C158" t="s">
        <v>234</v>
      </c>
      <c r="D158" t="s">
        <v>80</v>
      </c>
      <c r="E158" t="s">
        <v>15</v>
      </c>
      <c r="F158" t="s">
        <v>21</v>
      </c>
      <c r="G158" t="s">
        <v>22</v>
      </c>
      <c r="H158" t="s">
        <v>333</v>
      </c>
      <c r="I158">
        <v>0</v>
      </c>
      <c r="J158">
        <v>981.25</v>
      </c>
      <c r="K158">
        <v>981.25</v>
      </c>
      <c r="L158" t="s">
        <v>24</v>
      </c>
    </row>
    <row r="159" spans="1:12" x14ac:dyDescent="0.3">
      <c r="A159" t="s">
        <v>334</v>
      </c>
      <c r="B159" s="2">
        <v>46045</v>
      </c>
      <c r="C159" t="s">
        <v>234</v>
      </c>
      <c r="D159" t="s">
        <v>66</v>
      </c>
      <c r="E159" t="s">
        <v>15</v>
      </c>
      <c r="F159" t="s">
        <v>44</v>
      </c>
      <c r="G159" t="s">
        <v>22</v>
      </c>
      <c r="H159" t="s">
        <v>335</v>
      </c>
      <c r="I159">
        <v>0</v>
      </c>
      <c r="J159">
        <v>815.25</v>
      </c>
      <c r="K159">
        <v>815.25</v>
      </c>
      <c r="L159" t="s">
        <v>24</v>
      </c>
    </row>
    <row r="160" spans="1:12" x14ac:dyDescent="0.3">
      <c r="A160" t="s">
        <v>336</v>
      </c>
      <c r="B160" s="2">
        <v>46045</v>
      </c>
      <c r="C160" t="s">
        <v>234</v>
      </c>
      <c r="D160" t="s">
        <v>26</v>
      </c>
      <c r="E160" t="s">
        <v>15</v>
      </c>
      <c r="F160" t="s">
        <v>21</v>
      </c>
      <c r="G160" t="s">
        <v>22</v>
      </c>
      <c r="H160" t="s">
        <v>337</v>
      </c>
      <c r="I160">
        <v>0</v>
      </c>
      <c r="J160">
        <v>1277.3399999999999</v>
      </c>
      <c r="K160">
        <v>1277.3399999999999</v>
      </c>
      <c r="L160" t="s">
        <v>24</v>
      </c>
    </row>
    <row r="161" spans="1:12" x14ac:dyDescent="0.3">
      <c r="A161" t="s">
        <v>338</v>
      </c>
      <c r="B161" s="2">
        <v>46045</v>
      </c>
      <c r="C161" t="s">
        <v>234</v>
      </c>
      <c r="D161" t="s">
        <v>80</v>
      </c>
      <c r="E161" t="s">
        <v>15</v>
      </c>
      <c r="F161" t="s">
        <v>128</v>
      </c>
      <c r="G161" t="s">
        <v>17</v>
      </c>
      <c r="H161" t="s">
        <v>242</v>
      </c>
      <c r="I161">
        <v>657.08</v>
      </c>
      <c r="J161">
        <v>0</v>
      </c>
      <c r="K161">
        <v>657.08</v>
      </c>
      <c r="L161" t="s">
        <v>19</v>
      </c>
    </row>
    <row r="162" spans="1:12" x14ac:dyDescent="0.3">
      <c r="A162" t="s">
        <v>339</v>
      </c>
      <c r="B162" s="2">
        <v>46045</v>
      </c>
      <c r="C162" t="s">
        <v>234</v>
      </c>
      <c r="D162" t="s">
        <v>61</v>
      </c>
      <c r="E162" t="s">
        <v>32</v>
      </c>
      <c r="F162" t="s">
        <v>71</v>
      </c>
      <c r="G162" t="s">
        <v>28</v>
      </c>
      <c r="H162" t="s">
        <v>340</v>
      </c>
      <c r="I162">
        <v>985.2</v>
      </c>
      <c r="J162">
        <v>0</v>
      </c>
      <c r="K162">
        <v>985.2</v>
      </c>
      <c r="L162" t="s">
        <v>19</v>
      </c>
    </row>
    <row r="163" spans="1:12" x14ac:dyDescent="0.3">
      <c r="A163" t="s">
        <v>341</v>
      </c>
      <c r="B163" s="2">
        <v>46046</v>
      </c>
      <c r="C163" t="s">
        <v>234</v>
      </c>
      <c r="D163" t="s">
        <v>108</v>
      </c>
      <c r="E163" t="s">
        <v>32</v>
      </c>
      <c r="F163" t="s">
        <v>40</v>
      </c>
      <c r="G163" t="s">
        <v>22</v>
      </c>
      <c r="H163" t="s">
        <v>342</v>
      </c>
      <c r="I163">
        <v>0</v>
      </c>
      <c r="J163">
        <v>773.78</v>
      </c>
      <c r="K163">
        <v>773.78</v>
      </c>
      <c r="L163" t="s">
        <v>24</v>
      </c>
    </row>
    <row r="164" spans="1:12" x14ac:dyDescent="0.3">
      <c r="A164" t="s">
        <v>343</v>
      </c>
      <c r="B164" s="2">
        <v>46046</v>
      </c>
      <c r="C164" t="s">
        <v>234</v>
      </c>
      <c r="D164" t="s">
        <v>31</v>
      </c>
      <c r="E164" t="s">
        <v>32</v>
      </c>
      <c r="F164" t="s">
        <v>44</v>
      </c>
      <c r="G164" t="s">
        <v>22</v>
      </c>
      <c r="H164" t="s">
        <v>344</v>
      </c>
      <c r="I164">
        <v>0</v>
      </c>
      <c r="J164">
        <v>588.26</v>
      </c>
      <c r="K164">
        <v>588.26</v>
      </c>
      <c r="L164" t="s">
        <v>24</v>
      </c>
    </row>
    <row r="165" spans="1:12" x14ac:dyDescent="0.3">
      <c r="A165" t="s">
        <v>345</v>
      </c>
      <c r="B165" s="2">
        <v>46046</v>
      </c>
      <c r="C165" t="s">
        <v>234</v>
      </c>
      <c r="D165" t="s">
        <v>108</v>
      </c>
      <c r="E165" t="s">
        <v>32</v>
      </c>
      <c r="F165" t="s">
        <v>21</v>
      </c>
      <c r="G165" t="s">
        <v>22</v>
      </c>
      <c r="H165" t="s">
        <v>346</v>
      </c>
      <c r="I165">
        <v>0</v>
      </c>
      <c r="J165">
        <v>984.69</v>
      </c>
      <c r="K165">
        <v>984.69</v>
      </c>
      <c r="L165" t="s">
        <v>24</v>
      </c>
    </row>
    <row r="166" spans="1:12" x14ac:dyDescent="0.3">
      <c r="A166" t="s">
        <v>347</v>
      </c>
      <c r="B166" s="2">
        <v>46046</v>
      </c>
      <c r="C166" t="s">
        <v>234</v>
      </c>
      <c r="D166" t="s">
        <v>14</v>
      </c>
      <c r="E166" t="s">
        <v>15</v>
      </c>
      <c r="F166" t="s">
        <v>159</v>
      </c>
      <c r="G166" t="s">
        <v>28</v>
      </c>
      <c r="H166" t="s">
        <v>348</v>
      </c>
      <c r="I166">
        <v>279.02999999999997</v>
      </c>
      <c r="J166">
        <v>0</v>
      </c>
      <c r="K166">
        <v>279.02999999999997</v>
      </c>
      <c r="L166" t="s">
        <v>19</v>
      </c>
    </row>
    <row r="167" spans="1:12" x14ac:dyDescent="0.3">
      <c r="A167" t="s">
        <v>349</v>
      </c>
      <c r="B167" s="2">
        <v>46046</v>
      </c>
      <c r="C167" t="s">
        <v>234</v>
      </c>
      <c r="D167" t="s">
        <v>80</v>
      </c>
      <c r="E167" t="s">
        <v>15</v>
      </c>
      <c r="F167" t="s">
        <v>16</v>
      </c>
      <c r="G167" t="s">
        <v>17</v>
      </c>
      <c r="H167" t="s">
        <v>59</v>
      </c>
      <c r="I167">
        <v>656.95</v>
      </c>
      <c r="J167">
        <v>0</v>
      </c>
      <c r="K167">
        <v>656.95</v>
      </c>
      <c r="L167" t="s">
        <v>19</v>
      </c>
    </row>
    <row r="168" spans="1:12" x14ac:dyDescent="0.3">
      <c r="A168" t="s">
        <v>350</v>
      </c>
      <c r="B168" s="2">
        <v>46046</v>
      </c>
      <c r="C168" t="s">
        <v>234</v>
      </c>
      <c r="D168" t="s">
        <v>61</v>
      </c>
      <c r="E168" t="s">
        <v>32</v>
      </c>
      <c r="F168" t="s">
        <v>71</v>
      </c>
      <c r="G168" t="s">
        <v>28</v>
      </c>
      <c r="H168" t="s">
        <v>351</v>
      </c>
      <c r="I168">
        <v>1326.68</v>
      </c>
      <c r="J168">
        <v>0</v>
      </c>
      <c r="K168">
        <v>1326.68</v>
      </c>
      <c r="L168" t="s">
        <v>19</v>
      </c>
    </row>
    <row r="169" spans="1:12" x14ac:dyDescent="0.3">
      <c r="A169" t="s">
        <v>352</v>
      </c>
      <c r="B169" s="2">
        <v>46047</v>
      </c>
      <c r="C169" t="s">
        <v>234</v>
      </c>
      <c r="D169" t="s">
        <v>66</v>
      </c>
      <c r="E169" t="s">
        <v>15</v>
      </c>
      <c r="F169" t="s">
        <v>40</v>
      </c>
      <c r="G169" t="s">
        <v>22</v>
      </c>
      <c r="H169" t="s">
        <v>353</v>
      </c>
      <c r="I169">
        <v>0</v>
      </c>
      <c r="J169">
        <v>699.12</v>
      </c>
      <c r="K169">
        <v>699.12</v>
      </c>
      <c r="L169" t="s">
        <v>24</v>
      </c>
    </row>
    <row r="170" spans="1:12" x14ac:dyDescent="0.3">
      <c r="A170" t="s">
        <v>354</v>
      </c>
      <c r="B170" s="2">
        <v>46047</v>
      </c>
      <c r="C170" t="s">
        <v>234</v>
      </c>
      <c r="D170" t="s">
        <v>80</v>
      </c>
      <c r="E170" t="s">
        <v>15</v>
      </c>
      <c r="F170" t="s">
        <v>40</v>
      </c>
      <c r="G170" t="s">
        <v>22</v>
      </c>
      <c r="H170" t="s">
        <v>355</v>
      </c>
      <c r="I170">
        <v>0</v>
      </c>
      <c r="J170">
        <v>1126.74</v>
      </c>
      <c r="K170">
        <v>1126.74</v>
      </c>
      <c r="L170" t="s">
        <v>24</v>
      </c>
    </row>
    <row r="171" spans="1:12" x14ac:dyDescent="0.3">
      <c r="A171" t="s">
        <v>356</v>
      </c>
      <c r="B171" s="2">
        <v>46047</v>
      </c>
      <c r="C171" t="s">
        <v>234</v>
      </c>
      <c r="D171" t="s">
        <v>26</v>
      </c>
      <c r="E171" t="s">
        <v>15</v>
      </c>
      <c r="F171" t="s">
        <v>40</v>
      </c>
      <c r="G171" t="s">
        <v>22</v>
      </c>
      <c r="H171" t="s">
        <v>322</v>
      </c>
      <c r="I171">
        <v>0</v>
      </c>
      <c r="J171">
        <v>865.41</v>
      </c>
      <c r="K171">
        <v>865.41</v>
      </c>
      <c r="L171" t="s">
        <v>24</v>
      </c>
    </row>
    <row r="172" spans="1:12" x14ac:dyDescent="0.3">
      <c r="A172" t="s">
        <v>357</v>
      </c>
      <c r="B172" s="2">
        <v>46047</v>
      </c>
      <c r="C172" t="s">
        <v>234</v>
      </c>
      <c r="D172" t="s">
        <v>31</v>
      </c>
      <c r="E172" t="s">
        <v>32</v>
      </c>
      <c r="F172" t="s">
        <v>44</v>
      </c>
      <c r="G172" t="s">
        <v>22</v>
      </c>
      <c r="H172" t="s">
        <v>358</v>
      </c>
      <c r="I172">
        <v>0</v>
      </c>
      <c r="J172">
        <v>821.64</v>
      </c>
      <c r="K172">
        <v>821.64</v>
      </c>
      <c r="L172" t="s">
        <v>24</v>
      </c>
    </row>
    <row r="173" spans="1:12" x14ac:dyDescent="0.3">
      <c r="A173" t="s">
        <v>359</v>
      </c>
      <c r="B173" s="2">
        <v>46047</v>
      </c>
      <c r="C173" t="s">
        <v>234</v>
      </c>
      <c r="D173" t="s">
        <v>14</v>
      </c>
      <c r="E173" t="s">
        <v>15</v>
      </c>
      <c r="F173" t="s">
        <v>260</v>
      </c>
      <c r="G173" t="s">
        <v>28</v>
      </c>
      <c r="H173" t="s">
        <v>360</v>
      </c>
      <c r="I173">
        <v>234.98</v>
      </c>
      <c r="J173">
        <v>0</v>
      </c>
      <c r="K173">
        <v>234.98</v>
      </c>
      <c r="L173" t="s">
        <v>19</v>
      </c>
    </row>
    <row r="174" spans="1:12" x14ac:dyDescent="0.3">
      <c r="A174" t="s">
        <v>361</v>
      </c>
      <c r="B174" s="2">
        <v>46048</v>
      </c>
      <c r="C174" t="s">
        <v>234</v>
      </c>
      <c r="D174" t="s">
        <v>14</v>
      </c>
      <c r="E174" t="s">
        <v>15</v>
      </c>
      <c r="F174" t="s">
        <v>44</v>
      </c>
      <c r="G174" t="s">
        <v>22</v>
      </c>
      <c r="H174" t="s">
        <v>362</v>
      </c>
      <c r="I174">
        <v>0</v>
      </c>
      <c r="J174">
        <v>1128.56</v>
      </c>
      <c r="K174">
        <v>1128.56</v>
      </c>
      <c r="L174" t="s">
        <v>24</v>
      </c>
    </row>
    <row r="175" spans="1:12" x14ac:dyDescent="0.3">
      <c r="A175" t="s">
        <v>363</v>
      </c>
      <c r="B175" s="2">
        <v>46048</v>
      </c>
      <c r="C175" t="s">
        <v>234</v>
      </c>
      <c r="D175" t="s">
        <v>26</v>
      </c>
      <c r="E175" t="s">
        <v>15</v>
      </c>
      <c r="F175" t="s">
        <v>33</v>
      </c>
      <c r="G175" t="s">
        <v>28</v>
      </c>
      <c r="H175" t="s">
        <v>318</v>
      </c>
      <c r="I175">
        <v>207.42</v>
      </c>
      <c r="J175">
        <v>0</v>
      </c>
      <c r="K175">
        <v>207.42</v>
      </c>
      <c r="L175" t="s">
        <v>19</v>
      </c>
    </row>
    <row r="176" spans="1:12" x14ac:dyDescent="0.3">
      <c r="A176" t="s">
        <v>364</v>
      </c>
      <c r="B176" s="2">
        <v>46048</v>
      </c>
      <c r="C176" t="s">
        <v>234</v>
      </c>
      <c r="D176" t="s">
        <v>31</v>
      </c>
      <c r="E176" t="s">
        <v>32</v>
      </c>
      <c r="F176" t="s">
        <v>137</v>
      </c>
      <c r="G176" t="s">
        <v>138</v>
      </c>
      <c r="H176" t="s">
        <v>176</v>
      </c>
      <c r="I176">
        <v>170.38</v>
      </c>
      <c r="J176">
        <v>0</v>
      </c>
      <c r="K176">
        <v>170.38</v>
      </c>
      <c r="L176" t="s">
        <v>19</v>
      </c>
    </row>
    <row r="177" spans="1:12" x14ac:dyDescent="0.3">
      <c r="A177" t="s">
        <v>365</v>
      </c>
      <c r="B177" s="2">
        <v>46048</v>
      </c>
      <c r="C177" t="s">
        <v>234</v>
      </c>
      <c r="D177" t="s">
        <v>108</v>
      </c>
      <c r="E177" t="s">
        <v>32</v>
      </c>
      <c r="F177" t="s">
        <v>71</v>
      </c>
      <c r="G177" t="s">
        <v>28</v>
      </c>
      <c r="H177" t="s">
        <v>366</v>
      </c>
      <c r="I177">
        <v>915.47</v>
      </c>
      <c r="J177">
        <v>0</v>
      </c>
      <c r="K177">
        <v>915.47</v>
      </c>
      <c r="L177" t="s">
        <v>19</v>
      </c>
    </row>
    <row r="178" spans="1:12" x14ac:dyDescent="0.3">
      <c r="A178" t="s">
        <v>367</v>
      </c>
      <c r="B178" s="2">
        <v>46049</v>
      </c>
      <c r="C178" t="s">
        <v>234</v>
      </c>
      <c r="D178" t="s">
        <v>61</v>
      </c>
      <c r="E178" t="s">
        <v>32</v>
      </c>
      <c r="F178" t="s">
        <v>40</v>
      </c>
      <c r="G178" t="s">
        <v>22</v>
      </c>
      <c r="H178" t="s">
        <v>368</v>
      </c>
      <c r="I178">
        <v>0</v>
      </c>
      <c r="J178">
        <v>974.02</v>
      </c>
      <c r="K178">
        <v>974.02</v>
      </c>
      <c r="L178" t="s">
        <v>24</v>
      </c>
    </row>
    <row r="179" spans="1:12" x14ac:dyDescent="0.3">
      <c r="A179" t="s">
        <v>369</v>
      </c>
      <c r="B179" s="2">
        <v>46049</v>
      </c>
      <c r="C179" t="s">
        <v>234</v>
      </c>
      <c r="D179" t="s">
        <v>108</v>
      </c>
      <c r="E179" t="s">
        <v>32</v>
      </c>
      <c r="F179" t="s">
        <v>44</v>
      </c>
      <c r="G179" t="s">
        <v>22</v>
      </c>
      <c r="H179" t="s">
        <v>370</v>
      </c>
      <c r="I179">
        <v>0</v>
      </c>
      <c r="J179">
        <v>562.67999999999995</v>
      </c>
      <c r="K179">
        <v>562.67999999999995</v>
      </c>
      <c r="L179" t="s">
        <v>24</v>
      </c>
    </row>
    <row r="180" spans="1:12" x14ac:dyDescent="0.3">
      <c r="A180" t="s">
        <v>371</v>
      </c>
      <c r="B180" s="2">
        <v>46049</v>
      </c>
      <c r="C180" t="s">
        <v>234</v>
      </c>
      <c r="D180" t="s">
        <v>31</v>
      </c>
      <c r="E180" t="s">
        <v>32</v>
      </c>
      <c r="F180" t="s">
        <v>21</v>
      </c>
      <c r="G180" t="s">
        <v>22</v>
      </c>
      <c r="H180" t="s">
        <v>372</v>
      </c>
      <c r="I180">
        <v>0</v>
      </c>
      <c r="J180">
        <v>922.72</v>
      </c>
      <c r="K180">
        <v>922.72</v>
      </c>
      <c r="L180" t="s">
        <v>24</v>
      </c>
    </row>
    <row r="181" spans="1:12" x14ac:dyDescent="0.3">
      <c r="A181" t="s">
        <v>373</v>
      </c>
      <c r="B181" s="2">
        <v>46049</v>
      </c>
      <c r="C181" t="s">
        <v>234</v>
      </c>
      <c r="D181" t="s">
        <v>14</v>
      </c>
      <c r="E181" t="s">
        <v>15</v>
      </c>
      <c r="F181" t="s">
        <v>40</v>
      </c>
      <c r="G181" t="s">
        <v>22</v>
      </c>
      <c r="H181" t="s">
        <v>374</v>
      </c>
      <c r="I181">
        <v>0</v>
      </c>
      <c r="J181">
        <v>485.31</v>
      </c>
      <c r="K181">
        <v>485.31</v>
      </c>
      <c r="L181" t="s">
        <v>24</v>
      </c>
    </row>
    <row r="182" spans="1:12" x14ac:dyDescent="0.3">
      <c r="A182" t="s">
        <v>375</v>
      </c>
      <c r="B182" s="2">
        <v>46049</v>
      </c>
      <c r="C182" t="s">
        <v>234</v>
      </c>
      <c r="D182" t="s">
        <v>14</v>
      </c>
      <c r="E182" t="s">
        <v>15</v>
      </c>
      <c r="F182" t="s">
        <v>40</v>
      </c>
      <c r="G182" t="s">
        <v>22</v>
      </c>
      <c r="H182" t="s">
        <v>376</v>
      </c>
      <c r="I182">
        <v>0</v>
      </c>
      <c r="J182">
        <v>668.58</v>
      </c>
      <c r="K182">
        <v>668.58</v>
      </c>
      <c r="L182" t="s">
        <v>24</v>
      </c>
    </row>
    <row r="183" spans="1:12" x14ac:dyDescent="0.3">
      <c r="A183" t="s">
        <v>377</v>
      </c>
      <c r="B183" s="2">
        <v>46049</v>
      </c>
      <c r="C183" t="s">
        <v>234</v>
      </c>
      <c r="D183" t="s">
        <v>26</v>
      </c>
      <c r="E183" t="s">
        <v>15</v>
      </c>
      <c r="F183" t="s">
        <v>178</v>
      </c>
      <c r="G183" t="s">
        <v>138</v>
      </c>
      <c r="H183" t="s">
        <v>311</v>
      </c>
      <c r="I183">
        <v>1999.73</v>
      </c>
      <c r="J183">
        <v>0</v>
      </c>
      <c r="K183">
        <v>1999.73</v>
      </c>
      <c r="L183" t="s">
        <v>19</v>
      </c>
    </row>
    <row r="184" spans="1:12" x14ac:dyDescent="0.3">
      <c r="A184" t="s">
        <v>378</v>
      </c>
      <c r="B184" s="2">
        <v>46049</v>
      </c>
      <c r="C184" t="s">
        <v>234</v>
      </c>
      <c r="D184" t="s">
        <v>49</v>
      </c>
      <c r="E184" t="s">
        <v>32</v>
      </c>
      <c r="F184" t="s">
        <v>178</v>
      </c>
      <c r="G184" t="s">
        <v>138</v>
      </c>
      <c r="H184" t="s">
        <v>179</v>
      </c>
      <c r="I184">
        <v>2063.1</v>
      </c>
      <c r="J184">
        <v>0</v>
      </c>
      <c r="K184">
        <v>2063.1</v>
      </c>
      <c r="L184" t="s">
        <v>19</v>
      </c>
    </row>
    <row r="185" spans="1:12" x14ac:dyDescent="0.3">
      <c r="A185" t="s">
        <v>379</v>
      </c>
      <c r="B185" s="2">
        <v>46049</v>
      </c>
      <c r="C185" t="s">
        <v>234</v>
      </c>
      <c r="D185" t="s">
        <v>49</v>
      </c>
      <c r="E185" t="s">
        <v>32</v>
      </c>
      <c r="F185" t="s">
        <v>36</v>
      </c>
      <c r="G185" t="s">
        <v>28</v>
      </c>
      <c r="H185" t="s">
        <v>37</v>
      </c>
      <c r="I185">
        <v>312.91000000000003</v>
      </c>
      <c r="J185">
        <v>0</v>
      </c>
      <c r="K185">
        <v>312.91000000000003</v>
      </c>
      <c r="L185" t="s">
        <v>19</v>
      </c>
    </row>
    <row r="186" spans="1:12" x14ac:dyDescent="0.3">
      <c r="A186" t="s">
        <v>380</v>
      </c>
      <c r="B186" s="2">
        <v>46050</v>
      </c>
      <c r="C186" t="s">
        <v>234</v>
      </c>
      <c r="D186" t="s">
        <v>80</v>
      </c>
      <c r="E186" t="s">
        <v>15</v>
      </c>
      <c r="F186" t="s">
        <v>44</v>
      </c>
      <c r="G186" t="s">
        <v>22</v>
      </c>
      <c r="H186" t="s">
        <v>381</v>
      </c>
      <c r="I186">
        <v>0</v>
      </c>
      <c r="J186">
        <v>684.17</v>
      </c>
      <c r="K186">
        <v>684.17</v>
      </c>
      <c r="L186" t="s">
        <v>24</v>
      </c>
    </row>
    <row r="187" spans="1:12" x14ac:dyDescent="0.3">
      <c r="A187" t="s">
        <v>382</v>
      </c>
      <c r="B187" s="2">
        <v>46050</v>
      </c>
      <c r="C187" t="s">
        <v>234</v>
      </c>
      <c r="D187" t="s">
        <v>31</v>
      </c>
      <c r="E187" t="s">
        <v>32</v>
      </c>
      <c r="F187" t="s">
        <v>44</v>
      </c>
      <c r="G187" t="s">
        <v>22</v>
      </c>
      <c r="H187" t="s">
        <v>331</v>
      </c>
      <c r="I187">
        <v>0</v>
      </c>
      <c r="J187">
        <v>495.54</v>
      </c>
      <c r="K187">
        <v>495.54</v>
      </c>
      <c r="L187" t="s">
        <v>24</v>
      </c>
    </row>
    <row r="188" spans="1:12" x14ac:dyDescent="0.3">
      <c r="A188" t="s">
        <v>383</v>
      </c>
      <c r="B188" s="2">
        <v>46050</v>
      </c>
      <c r="C188" t="s">
        <v>234</v>
      </c>
      <c r="D188" t="s">
        <v>31</v>
      </c>
      <c r="E188" t="s">
        <v>32</v>
      </c>
      <c r="F188" t="s">
        <v>71</v>
      </c>
      <c r="G188" t="s">
        <v>28</v>
      </c>
      <c r="H188" t="s">
        <v>384</v>
      </c>
      <c r="I188">
        <v>1269.6099999999999</v>
      </c>
      <c r="J188">
        <v>0</v>
      </c>
      <c r="K188">
        <v>1269.6099999999999</v>
      </c>
      <c r="L188" t="s">
        <v>19</v>
      </c>
    </row>
    <row r="189" spans="1:12" x14ac:dyDescent="0.3">
      <c r="A189" t="s">
        <v>385</v>
      </c>
      <c r="B189" s="2">
        <v>46051</v>
      </c>
      <c r="C189" t="s">
        <v>234</v>
      </c>
      <c r="D189" t="s">
        <v>49</v>
      </c>
      <c r="E189" t="s">
        <v>32</v>
      </c>
      <c r="F189" t="s">
        <v>21</v>
      </c>
      <c r="G189" t="s">
        <v>22</v>
      </c>
      <c r="H189" t="s">
        <v>23</v>
      </c>
      <c r="I189">
        <v>0</v>
      </c>
      <c r="J189">
        <v>860.74</v>
      </c>
      <c r="K189">
        <v>860.74</v>
      </c>
      <c r="L189" t="s">
        <v>24</v>
      </c>
    </row>
    <row r="190" spans="1:12" x14ac:dyDescent="0.3">
      <c r="A190" t="s">
        <v>386</v>
      </c>
      <c r="B190" s="2">
        <v>46051</v>
      </c>
      <c r="C190" t="s">
        <v>234</v>
      </c>
      <c r="D190" t="s">
        <v>80</v>
      </c>
      <c r="E190" t="s">
        <v>15</v>
      </c>
      <c r="F190" t="s">
        <v>40</v>
      </c>
      <c r="G190" t="s">
        <v>22</v>
      </c>
      <c r="H190" t="s">
        <v>387</v>
      </c>
      <c r="I190">
        <v>0</v>
      </c>
      <c r="J190">
        <v>807.72</v>
      </c>
      <c r="K190">
        <v>807.72</v>
      </c>
      <c r="L190" t="s">
        <v>24</v>
      </c>
    </row>
    <row r="191" spans="1:12" x14ac:dyDescent="0.3">
      <c r="A191" t="s">
        <v>388</v>
      </c>
      <c r="B191" s="2">
        <v>46051</v>
      </c>
      <c r="C191" t="s">
        <v>234</v>
      </c>
      <c r="D191" t="s">
        <v>61</v>
      </c>
      <c r="E191" t="s">
        <v>32</v>
      </c>
      <c r="F191" t="s">
        <v>40</v>
      </c>
      <c r="G191" t="s">
        <v>22</v>
      </c>
      <c r="H191" t="s">
        <v>389</v>
      </c>
      <c r="I191">
        <v>0</v>
      </c>
      <c r="J191">
        <v>933.29</v>
      </c>
      <c r="K191">
        <v>933.29</v>
      </c>
      <c r="L191" t="s">
        <v>24</v>
      </c>
    </row>
    <row r="192" spans="1:12" x14ac:dyDescent="0.3">
      <c r="A192" t="s">
        <v>390</v>
      </c>
      <c r="B192" s="2">
        <v>46051</v>
      </c>
      <c r="C192" t="s">
        <v>234</v>
      </c>
      <c r="D192" t="s">
        <v>39</v>
      </c>
      <c r="E192" t="s">
        <v>32</v>
      </c>
      <c r="F192" t="s">
        <v>154</v>
      </c>
      <c r="G192" t="s">
        <v>17</v>
      </c>
      <c r="H192" t="s">
        <v>155</v>
      </c>
      <c r="I192">
        <v>345.22</v>
      </c>
      <c r="J192">
        <v>0</v>
      </c>
      <c r="K192">
        <v>345.22</v>
      </c>
      <c r="L192" t="s">
        <v>19</v>
      </c>
    </row>
    <row r="193" spans="1:12" x14ac:dyDescent="0.3">
      <c r="A193" t="s">
        <v>391</v>
      </c>
      <c r="B193" s="2">
        <v>46051</v>
      </c>
      <c r="C193" t="s">
        <v>234</v>
      </c>
      <c r="D193" t="s">
        <v>31</v>
      </c>
      <c r="E193" t="s">
        <v>32</v>
      </c>
      <c r="F193" t="s">
        <v>71</v>
      </c>
      <c r="G193" t="s">
        <v>28</v>
      </c>
      <c r="H193" t="s">
        <v>392</v>
      </c>
      <c r="I193">
        <v>1238.67</v>
      </c>
      <c r="J193">
        <v>0</v>
      </c>
      <c r="K193">
        <v>1238.67</v>
      </c>
      <c r="L193" t="s">
        <v>19</v>
      </c>
    </row>
    <row r="194" spans="1:12" x14ac:dyDescent="0.3">
      <c r="A194" t="s">
        <v>393</v>
      </c>
      <c r="B194" s="2">
        <v>46053</v>
      </c>
      <c r="C194" t="s">
        <v>234</v>
      </c>
      <c r="D194" t="s">
        <v>31</v>
      </c>
      <c r="E194" t="s">
        <v>32</v>
      </c>
      <c r="F194" t="s">
        <v>40</v>
      </c>
      <c r="G194" t="s">
        <v>22</v>
      </c>
      <c r="H194" t="s">
        <v>394</v>
      </c>
      <c r="I194">
        <v>0</v>
      </c>
      <c r="J194">
        <v>828.05</v>
      </c>
      <c r="K194">
        <v>828.05</v>
      </c>
      <c r="L194" t="s">
        <v>24</v>
      </c>
    </row>
    <row r="195" spans="1:12" x14ac:dyDescent="0.3">
      <c r="A195" t="s">
        <v>395</v>
      </c>
      <c r="B195" s="2">
        <v>46053</v>
      </c>
      <c r="C195" t="s">
        <v>234</v>
      </c>
      <c r="D195" t="s">
        <v>14</v>
      </c>
      <c r="E195" t="s">
        <v>15</v>
      </c>
      <c r="F195" t="s">
        <v>81</v>
      </c>
      <c r="G195" t="s">
        <v>28</v>
      </c>
      <c r="H195" t="s">
        <v>266</v>
      </c>
      <c r="I195">
        <v>104.59</v>
      </c>
      <c r="J195">
        <v>0</v>
      </c>
      <c r="K195">
        <v>104.59</v>
      </c>
      <c r="L195" t="s">
        <v>19</v>
      </c>
    </row>
    <row r="196" spans="1:12" x14ac:dyDescent="0.3">
      <c r="A196" t="s">
        <v>396</v>
      </c>
      <c r="B196" s="2">
        <v>46053</v>
      </c>
      <c r="C196" t="s">
        <v>234</v>
      </c>
      <c r="D196" t="s">
        <v>14</v>
      </c>
      <c r="E196" t="s">
        <v>15</v>
      </c>
      <c r="F196" t="s">
        <v>36</v>
      </c>
      <c r="G196" t="s">
        <v>28</v>
      </c>
      <c r="H196" t="s">
        <v>37</v>
      </c>
      <c r="I196">
        <v>356.28</v>
      </c>
      <c r="J196">
        <v>0</v>
      </c>
      <c r="K196">
        <v>356.28</v>
      </c>
      <c r="L196" t="s">
        <v>19</v>
      </c>
    </row>
    <row r="197" spans="1:12" x14ac:dyDescent="0.3">
      <c r="A197" t="s">
        <v>397</v>
      </c>
      <c r="B197" s="2">
        <v>46053</v>
      </c>
      <c r="C197" t="s">
        <v>234</v>
      </c>
      <c r="D197" t="s">
        <v>61</v>
      </c>
      <c r="E197" t="s">
        <v>32</v>
      </c>
      <c r="F197" t="s">
        <v>76</v>
      </c>
      <c r="G197" t="s">
        <v>63</v>
      </c>
      <c r="H197" t="s">
        <v>144</v>
      </c>
      <c r="I197">
        <v>1857.56</v>
      </c>
      <c r="J197">
        <v>0</v>
      </c>
      <c r="K197">
        <v>1857.56</v>
      </c>
      <c r="L197" t="s">
        <v>19</v>
      </c>
    </row>
    <row r="198" spans="1:12" x14ac:dyDescent="0.3">
      <c r="A198" t="s">
        <v>398</v>
      </c>
      <c r="B198" s="2">
        <v>46053</v>
      </c>
      <c r="C198" t="s">
        <v>234</v>
      </c>
      <c r="D198" t="s">
        <v>43</v>
      </c>
      <c r="E198" t="s">
        <v>32</v>
      </c>
      <c r="F198" t="s">
        <v>52</v>
      </c>
      <c r="G198" t="s">
        <v>28</v>
      </c>
      <c r="H198" t="s">
        <v>53</v>
      </c>
      <c r="I198">
        <v>88.5</v>
      </c>
      <c r="J198">
        <v>0</v>
      </c>
      <c r="K198">
        <v>88.5</v>
      </c>
      <c r="L198" t="s">
        <v>19</v>
      </c>
    </row>
    <row r="199" spans="1:12" x14ac:dyDescent="0.3">
      <c r="A199" t="s">
        <v>399</v>
      </c>
      <c r="B199" s="2">
        <v>46051</v>
      </c>
      <c r="C199" t="s">
        <v>234</v>
      </c>
      <c r="D199" t="s">
        <v>108</v>
      </c>
      <c r="E199" t="s">
        <v>32</v>
      </c>
      <c r="F199" t="s">
        <v>71</v>
      </c>
      <c r="G199" t="s">
        <v>28</v>
      </c>
      <c r="H199" t="s">
        <v>400</v>
      </c>
      <c r="I199">
        <v>1264.3699999999999</v>
      </c>
      <c r="J199">
        <v>0</v>
      </c>
      <c r="K199">
        <v>1264.3699999999999</v>
      </c>
      <c r="L19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32" customWidth="1"/>
    <col min="2" max="3" width="18" customWidth="1"/>
    <col min="4" max="4" width="12" customWidth="1"/>
  </cols>
  <sheetData>
    <row r="1" spans="1:4" x14ac:dyDescent="0.3">
      <c r="A1" s="3" t="s">
        <v>5</v>
      </c>
      <c r="B1" s="3" t="s">
        <v>401</v>
      </c>
      <c r="C1" s="3" t="s">
        <v>402</v>
      </c>
      <c r="D1" s="3" t="s">
        <v>403</v>
      </c>
    </row>
    <row r="2" spans="1:4" x14ac:dyDescent="0.3">
      <c r="A2" s="4" t="s">
        <v>36</v>
      </c>
      <c r="B2" s="5">
        <f>SUMIFS(GL!$K:$K,GL!$F:$F,$A2,GL!$C:$C,"2025-12",GL!$L:$L,"D")</f>
        <v>955.11</v>
      </c>
      <c r="C2" s="5">
        <f>SUMIFS(GL!$K:$K,GL!$F:$F,$A2,GL!$C:$C,"2026-01",GL!$L:$L,"D")</f>
        <v>669.19</v>
      </c>
      <c r="D2" s="6">
        <f t="shared" ref="D2:D17" si="0">IF($B2=0,"",($C2-$B2)/$B2)</f>
        <v>-0.29935818910910783</v>
      </c>
    </row>
    <row r="3" spans="1:4" x14ac:dyDescent="0.3">
      <c r="A3" s="4" t="s">
        <v>128</v>
      </c>
      <c r="B3" s="5">
        <f>SUMIFS(GL!$K:$K,GL!$F:$F,$A3,GL!$C:$C,"2025-12",GL!$L:$L,"D")</f>
        <v>1500</v>
      </c>
      <c r="C3" s="5">
        <f>SUMIFS(GL!$K:$K,GL!$F:$F,$A3,GL!$C:$C,"2026-01",GL!$L:$L,"D")</f>
        <v>1637.56</v>
      </c>
      <c r="D3" s="6">
        <f t="shared" si="0"/>
        <v>9.1706666666666631E-2</v>
      </c>
    </row>
    <row r="4" spans="1:4" x14ac:dyDescent="0.3">
      <c r="A4" s="4" t="s">
        <v>154</v>
      </c>
      <c r="B4" s="5">
        <f>SUMIFS(GL!$K:$K,GL!$F:$F,$A4,GL!$C:$C,"2025-12",GL!$L:$L,"D")</f>
        <v>938.6</v>
      </c>
      <c r="C4" s="5">
        <f>SUMIFS(GL!$K:$K,GL!$F:$F,$A4,GL!$C:$C,"2026-01",GL!$L:$L,"D")</f>
        <v>674.55</v>
      </c>
      <c r="D4" s="6">
        <f t="shared" si="0"/>
        <v>-0.28132324738972947</v>
      </c>
    </row>
    <row r="5" spans="1:4" x14ac:dyDescent="0.3">
      <c r="A5" s="4" t="s">
        <v>16</v>
      </c>
      <c r="B5" s="5">
        <f>SUMIFS(GL!$K:$K,GL!$F:$F,$A5,GL!$C:$C,"2025-12",GL!$L:$L,"D")</f>
        <v>2635.8999999999996</v>
      </c>
      <c r="C5" s="5">
        <f>SUMIFS(GL!$K:$K,GL!$F:$F,$A5,GL!$C:$C,"2026-01",GL!$L:$L,"D")</f>
        <v>2198.0600000000004</v>
      </c>
      <c r="D5" s="6">
        <f t="shared" si="0"/>
        <v>-0.16610645320383902</v>
      </c>
    </row>
    <row r="6" spans="1:4" x14ac:dyDescent="0.3">
      <c r="A6" s="4" t="s">
        <v>260</v>
      </c>
      <c r="B6" s="5">
        <f>SUMIFS(GL!$K:$K,GL!$F:$F,$A6,GL!$C:$C,"2025-12",GL!$L:$L,"D")</f>
        <v>590</v>
      </c>
      <c r="C6" s="5">
        <f>SUMIFS(GL!$K:$K,GL!$F:$F,$A6,GL!$C:$C,"2026-01",GL!$L:$L,"D")</f>
        <v>697.57</v>
      </c>
      <c r="D6" s="6">
        <f t="shared" si="0"/>
        <v>0.18232203389830517</v>
      </c>
    </row>
    <row r="7" spans="1:4" x14ac:dyDescent="0.3">
      <c r="A7" s="4" t="s">
        <v>81</v>
      </c>
      <c r="B7" s="5">
        <f>SUMIFS(GL!$K:$K,GL!$F:$F,$A7,GL!$C:$C,"2025-12",GL!$L:$L,"D")</f>
        <v>400.40999999999997</v>
      </c>
      <c r="C7" s="5">
        <f>SUMIFS(GL!$K:$K,GL!$F:$F,$A7,GL!$C:$C,"2026-01",GL!$L:$L,"D")</f>
        <v>393.22</v>
      </c>
      <c r="D7" s="6">
        <f t="shared" si="0"/>
        <v>-1.7956594490646939E-2</v>
      </c>
    </row>
    <row r="8" spans="1:4" x14ac:dyDescent="0.3">
      <c r="A8" s="4" t="s">
        <v>159</v>
      </c>
      <c r="B8" s="5">
        <f>SUMIFS(GL!$K:$K,GL!$F:$F,$A8,GL!$C:$C,"2025-12",GL!$L:$L,"D")</f>
        <v>595.53</v>
      </c>
      <c r="C8" s="5">
        <f>SUMIFS(GL!$K:$K,GL!$F:$F,$A8,GL!$C:$C,"2026-01",GL!$L:$L,"D")</f>
        <v>679.03</v>
      </c>
      <c r="D8" s="6">
        <f t="shared" si="0"/>
        <v>0.14021124040770408</v>
      </c>
    </row>
    <row r="9" spans="1:4" x14ac:dyDescent="0.3">
      <c r="A9" s="4" t="s">
        <v>27</v>
      </c>
      <c r="B9" s="5">
        <f>SUMIFS(GL!$K:$K,GL!$F:$F,$A9,GL!$C:$C,"2025-12",GL!$L:$L,"D")</f>
        <v>1102.3600000000001</v>
      </c>
      <c r="C9" s="5">
        <f>SUMIFS(GL!$K:$K,GL!$F:$F,$A9,GL!$C:$C,"2026-01",GL!$L:$L,"D")</f>
        <v>431.92</v>
      </c>
      <c r="D9" s="6">
        <f t="shared" si="0"/>
        <v>-0.6081860735150042</v>
      </c>
    </row>
    <row r="10" spans="1:4" x14ac:dyDescent="0.3">
      <c r="A10" s="4" t="s">
        <v>52</v>
      </c>
      <c r="B10" s="5">
        <f>SUMIFS(GL!$K:$K,GL!$F:$F,$A10,GL!$C:$C,"2025-12",GL!$L:$L,"D")</f>
        <v>233.88</v>
      </c>
      <c r="C10" s="5">
        <f>SUMIFS(GL!$K:$K,GL!$F:$F,$A10,GL!$C:$C,"2026-01",GL!$L:$L,"D")</f>
        <v>219.61</v>
      </c>
      <c r="D10" s="6">
        <f t="shared" si="0"/>
        <v>-6.1014195313836075E-2</v>
      </c>
    </row>
    <row r="11" spans="1:4" x14ac:dyDescent="0.3">
      <c r="A11" s="4" t="s">
        <v>33</v>
      </c>
      <c r="B11" s="5">
        <f>SUMIFS(GL!$K:$K,GL!$F:$F,$A11,GL!$C:$C,"2025-12",GL!$L:$L,"D")</f>
        <v>586.45000000000005</v>
      </c>
      <c r="C11" s="5">
        <f>SUMIFS(GL!$K:$K,GL!$F:$F,$A11,GL!$C:$C,"2026-01",GL!$L:$L,"D")</f>
        <v>373.58</v>
      </c>
      <c r="D11" s="6">
        <f t="shared" si="0"/>
        <v>-0.36298064626140342</v>
      </c>
    </row>
    <row r="12" spans="1:4" x14ac:dyDescent="0.3">
      <c r="A12" s="4" t="s">
        <v>62</v>
      </c>
      <c r="B12" s="5">
        <f>SUMIFS(GL!$K:$K,GL!$F:$F,$A12,GL!$C:$C,"2025-12",GL!$L:$L,"D")</f>
        <v>1321.1</v>
      </c>
      <c r="C12" s="5">
        <f>SUMIFS(GL!$K:$K,GL!$F:$F,$A12,GL!$C:$C,"2026-01",GL!$L:$L,"D")</f>
        <v>1026.8799999999999</v>
      </c>
      <c r="D12" s="6">
        <f t="shared" si="0"/>
        <v>-0.22270834910302026</v>
      </c>
    </row>
    <row r="13" spans="1:4" x14ac:dyDescent="0.3">
      <c r="A13" s="4" t="s">
        <v>178</v>
      </c>
      <c r="B13" s="5">
        <f>SUMIFS(GL!$K:$K,GL!$F:$F,$A13,GL!$C:$C,"2025-12",GL!$L:$L,"D")</f>
        <v>5600</v>
      </c>
      <c r="C13" s="5">
        <f>SUMIFS(GL!$K:$K,GL!$F:$F,$A13,GL!$C:$C,"2026-01",GL!$L:$L,"D")</f>
        <v>6336.66</v>
      </c>
      <c r="D13" s="6">
        <f t="shared" si="0"/>
        <v>0.13154642857142854</v>
      </c>
    </row>
    <row r="14" spans="1:4" x14ac:dyDescent="0.3">
      <c r="A14" s="4" t="s">
        <v>71</v>
      </c>
      <c r="B14" s="5">
        <f>SUMIFS(GL!$K:$K,GL!$F:$F,$A14,GL!$C:$C,"2025-12",GL!$L:$L,"D")</f>
        <v>5000</v>
      </c>
      <c r="C14" s="5">
        <f>SUMIFS(GL!$K:$K,GL!$F:$F,$A14,GL!$C:$C,"2026-01",GL!$L:$L,"D")</f>
        <v>7000</v>
      </c>
      <c r="D14" s="6">
        <f t="shared" si="0"/>
        <v>0.4</v>
      </c>
    </row>
    <row r="15" spans="1:4" x14ac:dyDescent="0.3">
      <c r="A15" s="4" t="s">
        <v>184</v>
      </c>
      <c r="B15" s="5">
        <f>SUMIFS(GL!$K:$K,GL!$F:$F,$A15,GL!$C:$C,"2025-12",GL!$L:$L,"D")</f>
        <v>803.88000000000011</v>
      </c>
      <c r="C15" s="5">
        <f>SUMIFS(GL!$K:$K,GL!$F:$F,$A15,GL!$C:$C,"2026-01",GL!$L:$L,"D")</f>
        <v>421.45</v>
      </c>
      <c r="D15" s="6">
        <f t="shared" si="0"/>
        <v>-0.47573020848882924</v>
      </c>
    </row>
    <row r="16" spans="1:4" x14ac:dyDescent="0.3">
      <c r="A16" s="4" t="s">
        <v>137</v>
      </c>
      <c r="B16" s="5">
        <f>SUMIFS(GL!$K:$K,GL!$F:$F,$A16,GL!$C:$C,"2025-12",GL!$L:$L,"D")</f>
        <v>371.33</v>
      </c>
      <c r="C16" s="5">
        <f>SUMIFS(GL!$K:$K,GL!$F:$F,$A16,GL!$C:$C,"2026-01",GL!$L:$L,"D")</f>
        <v>331.59000000000003</v>
      </c>
      <c r="D16" s="6">
        <f t="shared" si="0"/>
        <v>-0.10702070934209451</v>
      </c>
    </row>
    <row r="17" spans="1:4" x14ac:dyDescent="0.3">
      <c r="A17" s="4" t="s">
        <v>76</v>
      </c>
      <c r="B17" s="5">
        <f>SUMIFS(GL!$K:$K,GL!$F:$F,$A17,GL!$C:$C,"2025-12",GL!$L:$L,"D")</f>
        <v>9064.57</v>
      </c>
      <c r="C17" s="5">
        <f>SUMIFS(GL!$K:$K,GL!$F:$F,$A17,GL!$C:$C,"2026-01",GL!$L:$L,"D")</f>
        <v>7417.2800000000007</v>
      </c>
      <c r="D17" s="6">
        <f t="shared" si="0"/>
        <v>-0.18172842175635459</v>
      </c>
    </row>
  </sheetData>
  <conditionalFormatting sqref="D2:D1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1" priority="5" operator="greaterThan">
      <formula>0.2</formula>
    </cfRule>
  </conditionalFormatting>
  <conditionalFormatting sqref="G18">
    <cfRule type="colorScale" priority="3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32" customWidth="1"/>
    <col min="2" max="3" width="18" customWidth="1"/>
    <col min="4" max="4" width="12" customWidth="1"/>
  </cols>
  <sheetData>
    <row r="1" spans="1:4" x14ac:dyDescent="0.3">
      <c r="A1" s="3" t="s">
        <v>5</v>
      </c>
      <c r="B1" s="3" t="s">
        <v>401</v>
      </c>
      <c r="C1" s="3" t="s">
        <v>402</v>
      </c>
      <c r="D1" s="3" t="s">
        <v>403</v>
      </c>
    </row>
    <row r="2" spans="1:4" x14ac:dyDescent="0.3">
      <c r="A2" s="4" t="s">
        <v>21</v>
      </c>
      <c r="B2" s="5">
        <f>SUMIFS(GL!$K:$K,GL!$F:$F,$A2,GL!$C:$C,"2025-12",GL!$L:$L,"C")</f>
        <v>18742.5</v>
      </c>
      <c r="C2" s="5">
        <f>SUMIFS(GL!$K:$K,GL!$F:$F,$A2,GL!$C:$C,"2026-01",GL!$L:$L,"C")</f>
        <v>14057.63</v>
      </c>
      <c r="D2" s="6">
        <f>IF($B2=0,"",($C2-$B2)/$B2)</f>
        <v>-0.24995971722022148</v>
      </c>
    </row>
    <row r="3" spans="1:4" x14ac:dyDescent="0.3">
      <c r="A3" s="4" t="s">
        <v>44</v>
      </c>
      <c r="B3" s="5">
        <f>SUMIFS(GL!$K:$K,GL!$F:$F,$A3,GL!$C:$C,"2025-12",GL!$L:$L,"C")</f>
        <v>8014.5</v>
      </c>
      <c r="C3" s="5">
        <f>SUMIFS(GL!$K:$K,GL!$F:$F,$A3,GL!$C:$C,"2026-01",GL!$L:$L,"C")</f>
        <v>11909</v>
      </c>
      <c r="D3" s="6">
        <f>IF($B3=0,"",($C3-$B3)/$B3)</f>
        <v>0.48593174870547134</v>
      </c>
    </row>
    <row r="4" spans="1:4" x14ac:dyDescent="0.3">
      <c r="A4" s="4" t="s">
        <v>40</v>
      </c>
      <c r="B4" s="5">
        <f>SUMIFS(GL!$K:$K,GL!$F:$F,$A4,GL!$C:$C,"2025-12",GL!$L:$L,"C")</f>
        <v>17329.350000000002</v>
      </c>
      <c r="C4" s="5">
        <f>SUMIFS(GL!$K:$K,GL!$F:$F,$A4,GL!$C:$C,"2026-01",GL!$L:$L,"C")</f>
        <v>18560.580000000002</v>
      </c>
      <c r="D4" s="6">
        <f>IF($B4=0,"",($C4-$B4)/$B4)</f>
        <v>7.1048827567104331E-2</v>
      </c>
    </row>
  </sheetData>
  <conditionalFormatting sqref="D2:D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</vt:lpstr>
      <vt:lpstr>Expense analysis</vt:lpstr>
      <vt:lpstr>Revenue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Younis</cp:lastModifiedBy>
  <dcterms:created xsi:type="dcterms:W3CDTF">2026-01-29T14:13:13Z</dcterms:created>
  <dcterms:modified xsi:type="dcterms:W3CDTF">2026-01-29T14:38:27Z</dcterms:modified>
</cp:coreProperties>
</file>