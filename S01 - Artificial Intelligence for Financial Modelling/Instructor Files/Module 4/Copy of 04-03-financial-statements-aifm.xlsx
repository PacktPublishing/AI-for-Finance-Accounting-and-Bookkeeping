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4 work files\"/>
    </mc:Choice>
  </mc:AlternateContent>
  <xr:revisionPtr revIDLastSave="0" documentId="8_{CC81B840-E7F9-4277-AC74-752B38F08732}" xr6:coauthVersionLast="47" xr6:coauthVersionMax="47" xr10:uidLastSave="{00000000-0000-0000-0000-000000000000}"/>
  <bookViews>
    <workbookView xWindow="1128" yWindow="96" windowWidth="22056" windowHeight="12960" activeTab="2" xr2:uid="{00000000-000D-0000-FFFF-FFFF00000000}"/>
  </bookViews>
  <sheets>
    <sheet name="Balance Sheet" sheetId="1" r:id="rId1"/>
    <sheet name="PandL" sheetId="2" r:id="rId2"/>
    <sheet name="Ratios" sheetId="3" r:id="rId3"/>
    <sheet name="Competi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5" i="3"/>
  <c r="E16" i="3"/>
  <c r="E17" i="3"/>
  <c r="E18" i="3"/>
  <c r="C14" i="3" a="1"/>
  <c r="C14" i="3" s="1"/>
  <c r="D14" i="3" s="1"/>
  <c r="C15" i="3" a="1"/>
  <c r="C15" i="3" s="1"/>
  <c r="C16" i="3" a="1"/>
  <c r="C16" i="3" s="1"/>
  <c r="C17" i="3" a="1"/>
  <c r="C17" i="3" s="1"/>
  <c r="C18" i="3" a="1"/>
  <c r="C18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D21" i="4"/>
  <c r="D22" i="4"/>
  <c r="D23" i="4"/>
  <c r="D24" i="4"/>
  <c r="D25" i="4"/>
  <c r="C21" i="4"/>
  <c r="C22" i="4"/>
  <c r="C23" i="4"/>
  <c r="C24" i="4"/>
  <c r="C25" i="4"/>
  <c r="B21" i="4"/>
  <c r="B22" i="4"/>
  <c r="B23" i="4"/>
  <c r="B24" i="4"/>
  <c r="B25" i="4"/>
  <c r="B8" i="4"/>
  <c r="C4" i="3"/>
  <c r="D4" i="3" s="1"/>
  <c r="B14" i="3" s="1" a="1"/>
  <c r="B14" i="3" s="1"/>
  <c r="C5" i="3"/>
  <c r="D5" i="3" s="1"/>
  <c r="B15" i="3" s="1" a="1"/>
  <c r="B15" i="3" s="1"/>
  <c r="C6" i="3"/>
  <c r="D6" i="3" s="1"/>
  <c r="B16" i="3" s="1" a="1"/>
  <c r="B16" i="3" s="1"/>
  <c r="C7" i="3"/>
  <c r="C8" i="3"/>
  <c r="B4" i="3"/>
  <c r="B5" i="3"/>
  <c r="B6" i="3"/>
  <c r="B7" i="3"/>
  <c r="B8" i="3"/>
  <c r="D8" i="3" s="1"/>
  <c r="B18" i="3" s="1" a="1"/>
  <c r="B18" i="3" s="1"/>
  <c r="D18" i="3" s="1"/>
  <c r="A2" i="3"/>
  <c r="B48" i="2"/>
  <c r="B47" i="2"/>
  <c r="B42" i="2"/>
  <c r="B41" i="2"/>
  <c r="B39" i="2"/>
  <c r="B30" i="2"/>
  <c r="B23" i="2"/>
  <c r="B16" i="2"/>
  <c r="B15" i="2"/>
  <c r="B8" i="2"/>
  <c r="B30" i="1"/>
  <c r="B24" i="1"/>
  <c r="B25" i="1" s="1"/>
  <c r="B31" i="1" s="1"/>
  <c r="B15" i="1"/>
  <c r="B10" i="1"/>
  <c r="B16" i="1" s="1"/>
  <c r="D16" i="3" l="1"/>
  <c r="D15" i="3"/>
  <c r="D7" i="3"/>
  <c r="B17" i="3" s="1" a="1"/>
  <c r="B17" i="3" s="1"/>
  <c r="D1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<sst xmlns="http://schemas.openxmlformats.org/spreadsheetml/2006/main" count="129" uniqueCount="112">
  <si>
    <t>Line Item</t>
  </si>
  <si>
    <t>Amount (USD)</t>
  </si>
  <si>
    <t>ASSETS</t>
  </si>
  <si>
    <t>Current Assets</t>
  </si>
  <si>
    <t>Cash &amp; Cash Equivalents</t>
  </si>
  <si>
    <t>Accounts Receivable</t>
  </si>
  <si>
    <t>Inventory</t>
  </si>
  <si>
    <t>Prepaid Expenses</t>
  </si>
  <si>
    <t>Total Current Assets</t>
  </si>
  <si>
    <t>Non-Current Assets</t>
  </si>
  <si>
    <t>Property &amp; Equipment</t>
  </si>
  <si>
    <t>Less: Accumulated Depreciation</t>
  </si>
  <si>
    <t>Net Property &amp; Equipment</t>
  </si>
  <si>
    <t>TOTAL ASSETS</t>
  </si>
  <si>
    <t>LIABILITIES</t>
  </si>
  <si>
    <t>Current Liabilities</t>
  </si>
  <si>
    <t>Accounts Payable</t>
  </si>
  <si>
    <t>Accrued Payroll</t>
  </si>
  <si>
    <t>Sales Tax Payable</t>
  </si>
  <si>
    <t>Other Accrued Expenses</t>
  </si>
  <si>
    <t>Total Current Liabilities</t>
  </si>
  <si>
    <t>TOTAL LIABILITIES</t>
  </si>
  <si>
    <t>Owner Capital / Paid-in Equity</t>
  </si>
  <si>
    <t>Total Equity</t>
  </si>
  <si>
    <t>TOTAL LIABILITIES + EQUITY</t>
  </si>
  <si>
    <t>Retained Earnings – 2025</t>
  </si>
  <si>
    <t>EQUITY</t>
  </si>
  <si>
    <t>Net Revenue (Sales)</t>
  </si>
  <si>
    <t>Sales Revenue – Cappuccino</t>
  </si>
  <si>
    <t>Sales Revenue – Espresso</t>
  </si>
  <si>
    <t>Sales Revenue – Mocha</t>
  </si>
  <si>
    <t>Total Net Revenue</t>
  </si>
  <si>
    <t>Cost of Goods Sold (COGS)</t>
  </si>
  <si>
    <t>Coffee Beans</t>
  </si>
  <si>
    <t>Milk &amp; Dairy</t>
  </si>
  <si>
    <t>Cups, Lids, Napkins</t>
  </si>
  <si>
    <t>Other Ingredients (syrups, cocoa, etc.)</t>
  </si>
  <si>
    <t>Total COGS</t>
  </si>
  <si>
    <t>Gross Profit</t>
  </si>
  <si>
    <t>Gross Margin</t>
  </si>
  <si>
    <t>Operating Expenses - Payroll &amp; People Costs</t>
  </si>
  <si>
    <t>Wages – Baristas (15×2)</t>
  </si>
  <si>
    <t>Salaries – Store Managers (15×1)</t>
  </si>
  <si>
    <t>Payroll Taxes &amp; Benefits</t>
  </si>
  <si>
    <t>Total Payroll Costs</t>
  </si>
  <si>
    <t>Operating Expenses - Occupancy &amp; Store Costs</t>
  </si>
  <si>
    <t>Rent Expense</t>
  </si>
  <si>
    <t>Utilities (Electric/Gas/Water)</t>
  </si>
  <si>
    <t>Repairs &amp; Maintenance</t>
  </si>
  <si>
    <t>Cleaning &amp; Sanitation</t>
  </si>
  <si>
    <t>Total Occupancy &amp; Store Costs</t>
  </si>
  <si>
    <t>Operating Expenses - Operating &amp; Admin</t>
  </si>
  <si>
    <t>Marketing &amp; Promotions</t>
  </si>
  <si>
    <t>POS / Software Subscriptions</t>
  </si>
  <si>
    <t>Insurance Expense</t>
  </si>
  <si>
    <t>Bank &amp; Card Processing Fees</t>
  </si>
  <si>
    <t>Delivery / Courier Fees</t>
  </si>
  <si>
    <t>Office &amp; Admin Supplies</t>
  </si>
  <si>
    <t>Total Operating &amp; Admin</t>
  </si>
  <si>
    <t>Total Operating Expenses</t>
  </si>
  <si>
    <t>Operating Income (EBIT)</t>
  </si>
  <si>
    <t>Other Income / (Expenses)</t>
  </si>
  <si>
    <t>Interest Expense</t>
  </si>
  <si>
    <t>Other Income</t>
  </si>
  <si>
    <t>Net Other Income</t>
  </si>
  <si>
    <t>Net Income</t>
  </si>
  <si>
    <t>Income Statement</t>
  </si>
  <si>
    <t>Year ending 31st Dec 2025</t>
  </si>
  <si>
    <t>Balance Sheet</t>
  </si>
  <si>
    <t>As of 31 Dec 2025</t>
  </si>
  <si>
    <t>📈 Top 5 Financial Ratios</t>
  </si>
  <si>
    <t>Ratio</t>
  </si>
  <si>
    <t>Numerator</t>
  </si>
  <si>
    <t>Denominator</t>
  </si>
  <si>
    <t>Result</t>
  </si>
  <si>
    <t>Current Ratio</t>
  </si>
  <si>
    <t>Debt-to-Equity</t>
  </si>
  <si>
    <t>Operating Margin (EBIT)</t>
  </si>
  <si>
    <t>Return on Equity (ROE)</t>
  </si>
  <si>
    <t>All ratios update automatically when source financial statements change.</t>
  </si>
  <si>
    <t>Details</t>
  </si>
  <si>
    <t>Measures liquidity: Current Assets ÷ Current Liabilities (ability to cover short-term obligations).</t>
  </si>
  <si>
    <t>Measures leverage: Total Liabilities ÷ Total Equity (how much financing comes from debt vs. owners).</t>
  </si>
  <si>
    <t>Measures profitability: Gross Profit ÷ Total Net Revenue (profit after COGS as a % of sales).</t>
  </si>
  <si>
    <t>Measures operating efficiency: Operating Income (EBIT) ÷ Total Net Revenue (operating profit as a % of sales).</t>
  </si>
  <si>
    <t>Measures shareholder return: Net Income ÷ Total Equity (earnings generated per dollar of equity).</t>
  </si>
  <si>
    <t>☕ Competitor: Tim Hortons (Restaurant Brands International Inc.)</t>
  </si>
  <si>
    <t>Financials: FY2024 (published in 2025 Form 10-K / financial data sites)</t>
  </si>
  <si>
    <t>Key Inputs (USD millions)</t>
  </si>
  <si>
    <t>Total Revenues</t>
  </si>
  <si>
    <t>Supply Chain Cost of Sales</t>
  </si>
  <si>
    <t>Company Restaurant Expenses</t>
  </si>
  <si>
    <t>Gross Profit (approx.)</t>
  </si>
  <si>
    <t>Total Liabilities</t>
  </si>
  <si>
    <t>Total Shareholders' Equity</t>
  </si>
  <si>
    <t>Sources</t>
  </si>
  <si>
    <t>Income statement totals (Revenue, Op. Income, Net Income, cost lines):</t>
  </si>
  <si>
    <t>SEC Form 10-K (FY ended Dec 31, 2024) filing</t>
  </si>
  <si>
    <t>https://www.sec.gov/Archives/edgar/data/1618755/000161875525000010/qsr-20241231.htm</t>
  </si>
  <si>
    <t>Balance sheet totals (Current Assets/Liabilities, Total Liabilities, Equity):</t>
  </si>
  <si>
    <t>StockAnalysis.com (QSR balance sheet)</t>
  </si>
  <si>
    <t>https://stockanalysis.com/stocks/qsr/financials/balance-sheet/</t>
  </si>
  <si>
    <t>Measures liquidity: Current Assets ÷ Current Liabilities.</t>
  </si>
  <si>
    <t>Measures leverage: Total Liabilities ÷ Total Equity.</t>
  </si>
  <si>
    <t>Approx. profitability: (Revenue − direct costs) ÷ Revenue.</t>
  </si>
  <si>
    <t>Operating efficiency: EBIT ÷ Revenue.</t>
  </si>
  <si>
    <t>Shareholder return: Net Income ÷ Total Equity.</t>
  </si>
  <si>
    <t>📊 Ratio Comparison: Our Business vs Tim Hortons (RBI)</t>
  </si>
  <si>
    <t>Our Business</t>
  </si>
  <si>
    <t>Competitor (Tim Hortons/RBI)</t>
  </si>
  <si>
    <t>Difference (Our - Comp)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</si>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</sst>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1F4E79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44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5" fontId="3" fillId="0" borderId="0" xfId="1" applyNumberFormat="1" applyFont="1"/>
    <xf numFmtId="0" fontId="6" fillId="0" borderId="0" xfId="0" applyFont="1"/>
    <xf numFmtId="44" fontId="5" fillId="0" borderId="0" xfId="1" applyFont="1"/>
    <xf numFmtId="2" fontId="3" fillId="0" borderId="0" xfId="1" applyNumberFormat="1" applyFont="1"/>
    <xf numFmtId="0" fontId="4" fillId="2" borderId="1" xfId="0" applyFont="1" applyFill="1" applyBorder="1" applyAlignment="1">
      <alignment horizontal="center" vertical="top"/>
    </xf>
    <xf numFmtId="44" fontId="4" fillId="2" borderId="1" xfId="1" applyFont="1" applyFill="1" applyBorder="1" applyAlignment="1">
      <alignment horizontal="center" vertical="top"/>
    </xf>
    <xf numFmtId="0" fontId="7" fillId="0" borderId="0" xfId="0" applyFont="1"/>
    <xf numFmtId="0" fontId="3" fillId="2" borderId="0" xfId="0" applyFont="1" applyFill="1"/>
    <xf numFmtId="165" fontId="3" fillId="2" borderId="0" xfId="1" applyNumberFormat="1" applyFont="1" applyFill="1"/>
    <xf numFmtId="44" fontId="3" fillId="2" borderId="0" xfId="1" applyFont="1" applyFill="1"/>
    <xf numFmtId="0" fontId="3" fillId="2" borderId="2" xfId="0" applyFont="1" applyFill="1" applyBorder="1"/>
    <xf numFmtId="44" fontId="3" fillId="2" borderId="2" xfId="1" applyFont="1" applyFill="1" applyBorder="1"/>
    <xf numFmtId="0" fontId="8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0" fontId="11" fillId="3" borderId="0" xfId="0" applyFont="1" applyFill="1" applyAlignment="1">
      <alignment horizontal="left"/>
    </xf>
    <xf numFmtId="0" fontId="12" fillId="4" borderId="0" xfId="0" applyFont="1" applyFill="1"/>
    <xf numFmtId="3" fontId="0" fillId="0" borderId="0" xfId="0" applyNumberFormat="1"/>
  </cellXfs>
  <cellStyles count="2">
    <cellStyle name="Currency" xfId="1" builtinId="4"/>
    <cellStyle name="Normal" xfId="0" builtinId="0"/>
  </cellStyles>
  <dxfs count="8">
    <dxf>
      <alignment vertical="bottom" textRotation="0" wrapText="1" indent="0" justifyLastLine="0" shrinkToFit="0" readingOrder="0"/>
    </dxf>
    <dxf>
      <numFmt numFmtId="14" formatCode="0.00%"/>
      <alignment horizontal="left" vertical="top" wrapText="1"/>
    </dxf>
    <dxf>
      <alignment wrapText="1"/>
    </dxf>
    <dxf>
      <numFmt numFmtId="3" formatCode="#,##0"/>
    </dxf>
    <dxf>
      <numFmt numFmtId="3" formatCode="#,##0"/>
    </dxf>
    <dxf>
      <numFmt numFmtId="14" formatCode="0.00%"/>
      <alignment horizontal="left" vertical="top" textRotation="0" wrapText="1" indent="0" justifyLastLine="0" shrinkToFit="0" readingOrder="0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1AB77-1F76-4B1F-9491-68C7A0EA4E1F}" name="TopRatios" displayName="TopRatios" ref="A3:E8" totalsRowShown="0">
  <autoFilter ref="A3:E8" xr:uid="{48A1AB77-1F76-4B1F-9491-68C7A0EA4E1F}"/>
  <tableColumns count="5">
    <tableColumn id="1" xr3:uid="{7BB5F951-82F3-4158-9A76-B2E93FB42378}" name="Ratio"/>
    <tableColumn id="2" xr3:uid="{A8EA9F00-29DE-4E3A-849E-307C05D0B297}" name="Numerator" dataDxfId="7">
      <calculatedColumnFormula>CHOOSE(ROW()-3,'Balance Sheet'!$B$10,'Balance Sheet'!$B$25,PandL!$B$16,PandL!$B$42,PandL!$B$48)</calculatedColumnFormula>
    </tableColumn>
    <tableColumn id="3" xr3:uid="{5BA83DE0-AF5D-4E8F-9FE9-F2E957CDE55E}" name="Denominator" dataDxfId="6">
      <calculatedColumnFormula>CHOOSE(ROW()-3,'Balance Sheet'!$B$24,'Balance Sheet'!$B$30,PandL!$B$8,PandL!$B$8,'Balance Sheet'!$B$30)</calculatedColumnFormula>
    </tableColumn>
    <tableColumn id="4" xr3:uid="{99F6B215-629A-42B5-9B7D-430FA684F8F0}" name="Result">
      <calculatedColumnFormula>IF(TopRatios[[#This Row],[Denominator]]=0,"",TopRatios[[#This Row],[Numerator]]/TopRatios[[#This Row],[Denominator]])</calculatedColumnFormula>
    </tableColumn>
    <tableColumn id="5" xr3:uid="{74CBD4D2-F596-444A-864D-85C253FEC3B8}" name="Details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DD887-CE59-4ACE-920B-2E7D11BDC63F}" name="RatioComparison" displayName="RatioComparison" ref="A13:E18" totalsRowShown="0" headerRowDxfId="2">
  <autoFilter ref="A13:E18" xr:uid="{AB4DD887-CE59-4ACE-920B-2E7D11BDC63F}"/>
  <tableColumns count="5">
    <tableColumn id="1" xr3:uid="{DD7F042A-6F75-4836-ACCA-708BEA90DBDF}" name="Ratio">
      <calculatedColumnFormula array="1">INDEX(TopRatios[Ratio],ROW()-13)</calculatedColumnFormula>
    </tableColumn>
    <tableColumn id="2" xr3:uid="{95D45064-9E59-481B-8D3D-56A6138D37E7}" name="Our Business">
      <calculatedColumnFormula array="1">INDEX(TopRatios[Result],ROW()-13)</calculatedColumnFormula>
    </tableColumn>
    <tableColumn id="3" xr3:uid="{7194EB91-C800-4683-863F-77D25BD3B22C}" name="Competitor (Tim Hortons/RBI)">
      <calculatedColumnFormula array="1">INDEX(CompetitorRatios[Result],ROW()-13)</calculatedColumnFormula>
    </tableColumn>
    <tableColumn id="4" xr3:uid="{4B11FF5B-0CAD-4E8F-BB3F-29B33580D3BE}" name="Difference (Our - Comp)">
      <calculatedColumnFormula>IF(RatioComparison[[#This Row],[Competitor (Tim Hortons/RBI)]]="","",RatioComparison[[#This Row],[Our Business]]-RatioComparison[[#This Row],[Competitor (Tim Hortons/RBI)]])</calculatedColumnFormula>
    </tableColumn>
    <tableColumn id="5" xr3:uid="{1CC6D2F0-0B7E-4D54-9720-49777ACB466F}" name="Notes" dataDxfId="1">
      <calculatedColumnFormula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C0DD1-C122-4206-AC05-9BEC17BB8541}" name="CompetitorRatios" displayName="CompetitorRatios" ref="A20:E25" totalsRowShown="0">
  <autoFilter ref="A20:E25" xr:uid="{0B2C0DD1-C122-4206-AC05-9BEC17BB8541}"/>
  <tableColumns count="5">
    <tableColumn id="1" xr3:uid="{CC7EC078-22EE-4FF0-B1BF-9139169C3B07}" name="Ratio"/>
    <tableColumn id="2" xr3:uid="{46F91CD7-ABD8-4F16-AED8-40767C29A4DF}" name="Numerator" dataDxfId="4">
      <calculatedColumnFormula>CHOOSE(ROW()-20,$B$11,$B$13,$B$8,$B$9,$B$10)</calculatedColumnFormula>
    </tableColumn>
    <tableColumn id="3" xr3:uid="{1ED47CAB-7DFF-4379-BC63-BD73F5C9429B}" name="Denominator" dataDxfId="3">
      <calculatedColumnFormula>CHOOSE(ROW()-20,$B$12,$B$14,$B$5,$B$5,$B$14)</calculatedColumnFormula>
    </tableColumn>
    <tableColumn id="4" xr3:uid="{C5CC3B90-5D18-4B8A-A14F-503A14C200FB}" name="Result">
      <calculatedColumnFormula>IF(CompetitorRatios[[#This Row],[Denominator]]=0,"",CompetitorRatios[[#This Row],[Numerator]]/CompetitorRatios[[#This Row],[Denominator]])</calculatedColumnFormula>
    </tableColumn>
    <tableColumn id="5" xr3:uid="{16A987E9-85E5-4F94-B6CC-3D3E433B71DA}" name="Detail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8" workbookViewId="0">
      <selection activeCell="D32" sqref="D32"/>
    </sheetView>
  </sheetViews>
  <sheetFormatPr defaultRowHeight="14.4" x14ac:dyDescent="0.3"/>
  <cols>
    <col min="1" max="1" width="34.77734375" customWidth="1"/>
    <col min="2" max="2" width="14.109375" style="5" bestFit="1" customWidth="1"/>
  </cols>
  <sheetData>
    <row r="1" spans="1:2" ht="18" x14ac:dyDescent="0.35">
      <c r="A1" s="7" t="s">
        <v>68</v>
      </c>
    </row>
    <row r="2" spans="1:2" x14ac:dyDescent="0.3">
      <c r="A2" t="s">
        <v>69</v>
      </c>
    </row>
    <row r="3" spans="1:2" x14ac:dyDescent="0.3">
      <c r="A3" s="1" t="s">
        <v>0</v>
      </c>
      <c r="B3" s="4" t="s">
        <v>1</v>
      </c>
    </row>
    <row r="4" spans="1:2" x14ac:dyDescent="0.3">
      <c r="A4" s="2" t="s">
        <v>2</v>
      </c>
    </row>
    <row r="5" spans="1:2" x14ac:dyDescent="0.3">
      <c r="A5" t="s">
        <v>3</v>
      </c>
    </row>
    <row r="6" spans="1:2" x14ac:dyDescent="0.3">
      <c r="A6" t="s">
        <v>4</v>
      </c>
      <c r="B6" s="5">
        <v>220000</v>
      </c>
    </row>
    <row r="7" spans="1:2" x14ac:dyDescent="0.3">
      <c r="A7" t="s">
        <v>5</v>
      </c>
      <c r="B7" s="5">
        <v>35000</v>
      </c>
    </row>
    <row r="8" spans="1:2" x14ac:dyDescent="0.3">
      <c r="A8" t="s">
        <v>6</v>
      </c>
      <c r="B8" s="5">
        <v>85000</v>
      </c>
    </row>
    <row r="9" spans="1:2" x14ac:dyDescent="0.3">
      <c r="A9" t="s">
        <v>7</v>
      </c>
      <c r="B9" s="5">
        <v>40000</v>
      </c>
    </row>
    <row r="10" spans="1:2" x14ac:dyDescent="0.3">
      <c r="A10" s="13" t="s">
        <v>8</v>
      </c>
      <c r="B10" s="14">
        <f>SUM(B6:B9)</f>
        <v>380000</v>
      </c>
    </row>
    <row r="12" spans="1:2" x14ac:dyDescent="0.3">
      <c r="A12" t="s">
        <v>9</v>
      </c>
    </row>
    <row r="13" spans="1:2" x14ac:dyDescent="0.3">
      <c r="A13" t="s">
        <v>10</v>
      </c>
      <c r="B13" s="5">
        <v>1050000</v>
      </c>
    </row>
    <row r="14" spans="1:2" x14ac:dyDescent="0.3">
      <c r="A14" t="s">
        <v>11</v>
      </c>
      <c r="B14" s="5">
        <v>-210000</v>
      </c>
    </row>
    <row r="15" spans="1:2" x14ac:dyDescent="0.3">
      <c r="A15" s="2" t="s">
        <v>12</v>
      </c>
      <c r="B15" s="6">
        <f>B13+B14</f>
        <v>840000</v>
      </c>
    </row>
    <row r="16" spans="1:2" x14ac:dyDescent="0.3">
      <c r="A16" s="13" t="s">
        <v>13</v>
      </c>
      <c r="B16" s="14">
        <f>B10+B15</f>
        <v>1220000</v>
      </c>
    </row>
    <row r="18" spans="1:2" x14ac:dyDescent="0.3">
      <c r="A18" s="2" t="s">
        <v>14</v>
      </c>
    </row>
    <row r="19" spans="1:2" x14ac:dyDescent="0.3">
      <c r="A19" t="s">
        <v>15</v>
      </c>
    </row>
    <row r="20" spans="1:2" x14ac:dyDescent="0.3">
      <c r="A20" t="s">
        <v>16</v>
      </c>
      <c r="B20" s="5">
        <v>120000</v>
      </c>
    </row>
    <row r="21" spans="1:2" x14ac:dyDescent="0.3">
      <c r="A21" t="s">
        <v>17</v>
      </c>
      <c r="B21" s="5">
        <v>110000</v>
      </c>
    </row>
    <row r="22" spans="1:2" x14ac:dyDescent="0.3">
      <c r="A22" t="s">
        <v>18</v>
      </c>
      <c r="B22" s="5">
        <v>65000</v>
      </c>
    </row>
    <row r="23" spans="1:2" x14ac:dyDescent="0.3">
      <c r="A23" t="s">
        <v>19</v>
      </c>
      <c r="B23" s="5">
        <v>25000</v>
      </c>
    </row>
    <row r="24" spans="1:2" x14ac:dyDescent="0.3">
      <c r="A24" s="13" t="s">
        <v>20</v>
      </c>
      <c r="B24" s="14">
        <f>SUM(B20:B23)</f>
        <v>320000</v>
      </c>
    </row>
    <row r="25" spans="1:2" x14ac:dyDescent="0.3">
      <c r="A25" s="13" t="s">
        <v>21</v>
      </c>
      <c r="B25" s="14">
        <f>B24</f>
        <v>320000</v>
      </c>
    </row>
    <row r="27" spans="1:2" x14ac:dyDescent="0.3">
      <c r="A27" s="2" t="s">
        <v>26</v>
      </c>
    </row>
    <row r="28" spans="1:2" x14ac:dyDescent="0.3">
      <c r="A28" t="s">
        <v>22</v>
      </c>
      <c r="B28" s="5">
        <v>730000</v>
      </c>
    </row>
    <row r="29" spans="1:2" x14ac:dyDescent="0.3">
      <c r="A29" t="s">
        <v>25</v>
      </c>
      <c r="B29" s="5">
        <v>170000</v>
      </c>
    </row>
    <row r="30" spans="1:2" x14ac:dyDescent="0.3">
      <c r="A30" s="13" t="s">
        <v>23</v>
      </c>
      <c r="B30" s="14">
        <f>SUM(B28:B29)</f>
        <v>900000</v>
      </c>
    </row>
    <row r="31" spans="1:2" x14ac:dyDescent="0.3">
      <c r="A31" s="13" t="s">
        <v>24</v>
      </c>
      <c r="B31" s="14">
        <f>B25+B30</f>
        <v>1220000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CE9D-5533-46E0-B1DE-C82B004149CC}">
  <dimension ref="A1:B48"/>
  <sheetViews>
    <sheetView workbookViewId="0">
      <selection activeCell="F14" sqref="F14"/>
    </sheetView>
  </sheetViews>
  <sheetFormatPr defaultRowHeight="14.4" x14ac:dyDescent="0.3"/>
  <cols>
    <col min="1" max="1" width="40.109375" customWidth="1"/>
    <col min="2" max="2" width="16.6640625" style="3" customWidth="1"/>
  </cols>
  <sheetData>
    <row r="1" spans="1:2" ht="18" x14ac:dyDescent="0.35">
      <c r="A1" s="7" t="s">
        <v>66</v>
      </c>
      <c r="B1" s="8"/>
    </row>
    <row r="2" spans="1:2" ht="15.6" x14ac:dyDescent="0.3">
      <c r="A2" s="12" t="s">
        <v>67</v>
      </c>
      <c r="B2" s="8"/>
    </row>
    <row r="3" spans="1:2" x14ac:dyDescent="0.3">
      <c r="A3" s="10" t="s">
        <v>0</v>
      </c>
      <c r="B3" s="11" t="s">
        <v>1</v>
      </c>
    </row>
    <row r="4" spans="1:2" x14ac:dyDescent="0.3">
      <c r="A4" t="s">
        <v>27</v>
      </c>
    </row>
    <row r="5" spans="1:2" x14ac:dyDescent="0.3">
      <c r="A5" t="s">
        <v>28</v>
      </c>
      <c r="B5" s="3">
        <v>2150000</v>
      </c>
    </row>
    <row r="6" spans="1:2" x14ac:dyDescent="0.3">
      <c r="A6" t="s">
        <v>29</v>
      </c>
      <c r="B6" s="3">
        <v>1620000</v>
      </c>
    </row>
    <row r="7" spans="1:2" x14ac:dyDescent="0.3">
      <c r="A7" t="s">
        <v>30</v>
      </c>
      <c r="B7" s="3">
        <v>1740000</v>
      </c>
    </row>
    <row r="8" spans="1:2" x14ac:dyDescent="0.3">
      <c r="A8" s="13" t="s">
        <v>31</v>
      </c>
      <c r="B8" s="15">
        <f>SUM(B5:B7)</f>
        <v>5510000</v>
      </c>
    </row>
    <row r="10" spans="1:2" x14ac:dyDescent="0.3">
      <c r="A10" t="s">
        <v>32</v>
      </c>
    </row>
    <row r="11" spans="1:2" x14ac:dyDescent="0.3">
      <c r="A11" t="s">
        <v>33</v>
      </c>
      <c r="B11" s="3">
        <v>385000</v>
      </c>
    </row>
    <row r="12" spans="1:2" x14ac:dyDescent="0.3">
      <c r="A12" t="s">
        <v>34</v>
      </c>
      <c r="B12" s="3">
        <v>305000</v>
      </c>
    </row>
    <row r="13" spans="1:2" x14ac:dyDescent="0.3">
      <c r="A13" t="s">
        <v>35</v>
      </c>
      <c r="B13" s="3">
        <v>210000</v>
      </c>
    </row>
    <row r="14" spans="1:2" x14ac:dyDescent="0.3">
      <c r="A14" t="s">
        <v>36</v>
      </c>
      <c r="B14" s="3">
        <v>130000</v>
      </c>
    </row>
    <row r="15" spans="1:2" x14ac:dyDescent="0.3">
      <c r="A15" s="13" t="s">
        <v>37</v>
      </c>
      <c r="B15" s="15">
        <f>SUM(B11:B14)</f>
        <v>1030000</v>
      </c>
    </row>
    <row r="16" spans="1:2" x14ac:dyDescent="0.3">
      <c r="A16" s="13" t="s">
        <v>38</v>
      </c>
      <c r="B16" s="15">
        <f>B8-B15</f>
        <v>4480000</v>
      </c>
    </row>
    <row r="17" spans="1:2" x14ac:dyDescent="0.3">
      <c r="A17" s="2"/>
      <c r="B17" s="9"/>
    </row>
    <row r="19" spans="1:2" x14ac:dyDescent="0.3">
      <c r="A19" s="2" t="s">
        <v>40</v>
      </c>
    </row>
    <row r="20" spans="1:2" x14ac:dyDescent="0.3">
      <c r="A20" t="s">
        <v>41</v>
      </c>
      <c r="B20" s="3">
        <v>1500000</v>
      </c>
    </row>
    <row r="21" spans="1:2" x14ac:dyDescent="0.3">
      <c r="A21" t="s">
        <v>42</v>
      </c>
      <c r="B21" s="3">
        <v>840000</v>
      </c>
    </row>
    <row r="22" spans="1:2" x14ac:dyDescent="0.3">
      <c r="A22" t="s">
        <v>43</v>
      </c>
      <c r="B22" s="3">
        <v>360000</v>
      </c>
    </row>
    <row r="23" spans="1:2" x14ac:dyDescent="0.3">
      <c r="A23" s="13" t="s">
        <v>44</v>
      </c>
      <c r="B23" s="15">
        <f>SUM(B20:B22)</f>
        <v>2700000</v>
      </c>
    </row>
    <row r="25" spans="1:2" x14ac:dyDescent="0.3">
      <c r="A25" s="2" t="s">
        <v>45</v>
      </c>
    </row>
    <row r="26" spans="1:2" x14ac:dyDescent="0.3">
      <c r="A26" t="s">
        <v>46</v>
      </c>
      <c r="B26" s="3">
        <v>720000</v>
      </c>
    </row>
    <row r="27" spans="1:2" x14ac:dyDescent="0.3">
      <c r="A27" t="s">
        <v>47</v>
      </c>
      <c r="B27" s="3">
        <v>175000</v>
      </c>
    </row>
    <row r="28" spans="1:2" x14ac:dyDescent="0.3">
      <c r="A28" t="s">
        <v>48</v>
      </c>
      <c r="B28" s="3">
        <v>180000</v>
      </c>
    </row>
    <row r="29" spans="1:2" x14ac:dyDescent="0.3">
      <c r="A29" t="s">
        <v>49</v>
      </c>
      <c r="B29" s="3">
        <v>85000</v>
      </c>
    </row>
    <row r="30" spans="1:2" x14ac:dyDescent="0.3">
      <c r="A30" s="13" t="s">
        <v>50</v>
      </c>
      <c r="B30" s="15">
        <f>SUM(B26:B29)</f>
        <v>1160000</v>
      </c>
    </row>
    <row r="32" spans="1:2" x14ac:dyDescent="0.3">
      <c r="A32" s="2" t="s">
        <v>51</v>
      </c>
    </row>
    <row r="33" spans="1:2" x14ac:dyDescent="0.3">
      <c r="A33" t="s">
        <v>52</v>
      </c>
      <c r="B33" s="3">
        <v>110000</v>
      </c>
    </row>
    <row r="34" spans="1:2" x14ac:dyDescent="0.3">
      <c r="A34" t="s">
        <v>53</v>
      </c>
      <c r="B34" s="3">
        <v>60000</v>
      </c>
    </row>
    <row r="35" spans="1:2" x14ac:dyDescent="0.3">
      <c r="A35" t="s">
        <v>54</v>
      </c>
      <c r="B35" s="3">
        <v>75000</v>
      </c>
    </row>
    <row r="36" spans="1:2" x14ac:dyDescent="0.3">
      <c r="A36" t="s">
        <v>55</v>
      </c>
      <c r="B36" s="3">
        <v>165000</v>
      </c>
    </row>
    <row r="37" spans="1:2" x14ac:dyDescent="0.3">
      <c r="A37" t="s">
        <v>56</v>
      </c>
      <c r="B37" s="3">
        <v>25000</v>
      </c>
    </row>
    <row r="38" spans="1:2" x14ac:dyDescent="0.3">
      <c r="A38" t="s">
        <v>57</v>
      </c>
      <c r="B38" s="3">
        <v>30000</v>
      </c>
    </row>
    <row r="39" spans="1:2" x14ac:dyDescent="0.3">
      <c r="A39" s="13" t="s">
        <v>58</v>
      </c>
      <c r="B39" s="15">
        <f>SUM(B33:B38)</f>
        <v>465000</v>
      </c>
    </row>
    <row r="41" spans="1:2" x14ac:dyDescent="0.3">
      <c r="A41" s="13" t="s">
        <v>59</v>
      </c>
      <c r="B41" s="15">
        <f>B23+B30+B39</f>
        <v>4325000</v>
      </c>
    </row>
    <row r="42" spans="1:2" x14ac:dyDescent="0.3">
      <c r="A42" s="13" t="s">
        <v>60</v>
      </c>
      <c r="B42" s="15">
        <f>B16-B41</f>
        <v>155000</v>
      </c>
    </row>
    <row r="44" spans="1:2" x14ac:dyDescent="0.3">
      <c r="A44" s="2" t="s">
        <v>61</v>
      </c>
    </row>
    <row r="45" spans="1:2" x14ac:dyDescent="0.3">
      <c r="A45" t="s">
        <v>62</v>
      </c>
      <c r="B45" s="3">
        <v>0</v>
      </c>
    </row>
    <row r="46" spans="1:2" x14ac:dyDescent="0.3">
      <c r="A46" t="s">
        <v>63</v>
      </c>
      <c r="B46" s="3">
        <v>15000</v>
      </c>
    </row>
    <row r="47" spans="1:2" x14ac:dyDescent="0.3">
      <c r="A47" s="13" t="s">
        <v>64</v>
      </c>
      <c r="B47" s="15">
        <f>B46+B45</f>
        <v>15000</v>
      </c>
    </row>
    <row r="48" spans="1:2" x14ac:dyDescent="0.3">
      <c r="A48" s="16" t="s">
        <v>65</v>
      </c>
      <c r="B48" s="17">
        <f>B42+B47</f>
        <v>170000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F50A-1503-4B58-BF67-9550B0695DFC}">
  <dimension ref="A1:E18"/>
  <sheetViews>
    <sheetView tabSelected="1" topLeftCell="A5" workbookViewId="0">
      <selection activeCell="G18" sqref="G18"/>
    </sheetView>
  </sheetViews>
  <sheetFormatPr defaultRowHeight="14.4" x14ac:dyDescent="0.3"/>
  <cols>
    <col min="1" max="1" width="20.5546875" bestFit="1" customWidth="1"/>
    <col min="2" max="2" width="13.88671875" bestFit="1" customWidth="1"/>
    <col min="3" max="3" width="28.88671875" bestFit="1" customWidth="1"/>
    <col min="4" max="4" width="23.6640625" bestFit="1" customWidth="1"/>
    <col min="5" max="5" width="30.88671875" customWidth="1"/>
  </cols>
  <sheetData>
    <row r="1" spans="1:5" ht="28.05" customHeight="1" x14ac:dyDescent="0.4">
      <c r="A1" s="18" t="s">
        <v>70</v>
      </c>
      <c r="B1" s="18"/>
      <c r="C1" s="18"/>
      <c r="D1" s="18"/>
    </row>
    <row r="2" spans="1:5" x14ac:dyDescent="0.3">
      <c r="A2" s="19" t="str">
        <f>PandL!A2</f>
        <v>Year ending 31st Dec 2025</v>
      </c>
      <c r="B2" s="19"/>
      <c r="C2" s="19"/>
      <c r="D2" s="19"/>
    </row>
    <row r="3" spans="1:5" x14ac:dyDescent="0.3">
      <c r="A3" t="s">
        <v>71</v>
      </c>
      <c r="B3" t="s">
        <v>72</v>
      </c>
      <c r="C3" t="s">
        <v>73</v>
      </c>
      <c r="D3" t="s">
        <v>74</v>
      </c>
      <c r="E3" s="25" t="s">
        <v>80</v>
      </c>
    </row>
    <row r="4" spans="1:5" ht="43.2" x14ac:dyDescent="0.3">
      <c r="A4" t="s">
        <v>75</v>
      </c>
      <c r="B4" s="20">
        <f>CHOOSE(ROW()-3,'Balance Sheet'!$B$10,'Balance Sheet'!$B$25,PandL!$B$16,PandL!$B$42,PandL!$B$48)</f>
        <v>380000</v>
      </c>
      <c r="C4" s="20">
        <f>CHOOSE(ROW()-3,'Balance Sheet'!$B$24,'Balance Sheet'!$B$30,PandL!$B$8,PandL!$B$8,'Balance Sheet'!$B$30)</f>
        <v>320000</v>
      </c>
      <c r="D4" s="21">
        <f>IF(TopRatios[[#This Row],[Denominator]]=0,"",TopRatios[[#This Row],[Numerator]]/TopRatios[[#This Row],[Denominator]])</f>
        <v>1.1875</v>
      </c>
      <c r="E4" s="26" t="s">
        <v>81</v>
      </c>
    </row>
    <row r="5" spans="1:5" ht="43.2" x14ac:dyDescent="0.3">
      <c r="A5" t="s">
        <v>76</v>
      </c>
      <c r="B5" s="20">
        <f>CHOOSE(ROW()-3,'Balance Sheet'!$B$10,'Balance Sheet'!$B$25,PandL!$B$16,PandL!$B$42,PandL!$B$48)</f>
        <v>320000</v>
      </c>
      <c r="C5" s="20">
        <f>CHOOSE(ROW()-3,'Balance Sheet'!$B$24,'Balance Sheet'!$B$30,PandL!$B$8,PandL!$B$8,'Balance Sheet'!$B$30)</f>
        <v>900000</v>
      </c>
      <c r="D5" s="21">
        <f>IF(TopRatios[[#This Row],[Denominator]]=0,"",TopRatios[[#This Row],[Numerator]]/TopRatios[[#This Row],[Denominator]])</f>
        <v>0.35555555555555557</v>
      </c>
      <c r="E5" s="26" t="s">
        <v>82</v>
      </c>
    </row>
    <row r="6" spans="1:5" ht="43.2" x14ac:dyDescent="0.3">
      <c r="A6" t="s">
        <v>39</v>
      </c>
      <c r="B6" s="20">
        <f>CHOOSE(ROW()-3,'Balance Sheet'!$B$10,'Balance Sheet'!$B$25,PandL!$B$16,PandL!$B$42,PandL!$B$48)</f>
        <v>4480000</v>
      </c>
      <c r="C6" s="20">
        <f>CHOOSE(ROW()-3,'Balance Sheet'!$B$24,'Balance Sheet'!$B$30,PandL!$B$8,PandL!$B$8,'Balance Sheet'!$B$30)</f>
        <v>5510000</v>
      </c>
      <c r="D6" s="22">
        <f>IF(TopRatios[[#This Row],[Denominator]]=0,"",TopRatios[[#This Row],[Numerator]]/TopRatios[[#This Row],[Denominator]])</f>
        <v>0.81306715063520874</v>
      </c>
      <c r="E6" s="27" t="s">
        <v>83</v>
      </c>
    </row>
    <row r="7" spans="1:5" ht="57.6" x14ac:dyDescent="0.3">
      <c r="A7" t="s">
        <v>77</v>
      </c>
      <c r="B7" s="20">
        <f>CHOOSE(ROW()-3,'Balance Sheet'!$B$10,'Balance Sheet'!$B$25,PandL!$B$16,PandL!$B$42,PandL!$B$48)</f>
        <v>155000</v>
      </c>
      <c r="C7" s="20">
        <f>CHOOSE(ROW()-3,'Balance Sheet'!$B$24,'Balance Sheet'!$B$30,PandL!$B$8,PandL!$B$8,'Balance Sheet'!$B$30)</f>
        <v>5510000</v>
      </c>
      <c r="D7" s="22">
        <f>IF(TopRatios[[#This Row],[Denominator]]=0,"",TopRatios[[#This Row],[Numerator]]/TopRatios[[#This Row],[Denominator]])</f>
        <v>2.8130671506352088E-2</v>
      </c>
      <c r="E7" s="27" t="s">
        <v>84</v>
      </c>
    </row>
    <row r="8" spans="1:5" ht="43.2" x14ac:dyDescent="0.3">
      <c r="A8" t="s">
        <v>78</v>
      </c>
      <c r="B8" s="20">
        <f>CHOOSE(ROW()-3,'Balance Sheet'!$B$10,'Balance Sheet'!$B$25,PandL!$B$16,PandL!$B$42,PandL!$B$48)</f>
        <v>170000</v>
      </c>
      <c r="C8" s="20">
        <f>CHOOSE(ROW()-3,'Balance Sheet'!$B$24,'Balance Sheet'!$B$30,PandL!$B$8,PandL!$B$8,'Balance Sheet'!$B$30)</f>
        <v>900000</v>
      </c>
      <c r="D8" s="22">
        <f>IF(TopRatios[[#This Row],[Denominator]]=0,"",TopRatios[[#This Row],[Numerator]]/TopRatios[[#This Row],[Denominator]])</f>
        <v>0.18888888888888888</v>
      </c>
      <c r="E8" s="27" t="s">
        <v>85</v>
      </c>
    </row>
    <row r="10" spans="1:5" x14ac:dyDescent="0.3">
      <c r="A10" s="23" t="s">
        <v>79</v>
      </c>
      <c r="B10" s="23"/>
      <c r="C10" s="23"/>
      <c r="D10" s="23"/>
    </row>
    <row r="12" spans="1:5" x14ac:dyDescent="0.3">
      <c r="A12" s="28" t="s">
        <v>107</v>
      </c>
      <c r="B12" s="28"/>
      <c r="C12" s="28"/>
      <c r="D12" s="28"/>
    </row>
    <row r="13" spans="1:5" x14ac:dyDescent="0.3">
      <c r="A13" s="24" t="s">
        <v>71</v>
      </c>
      <c r="B13" s="24" t="s">
        <v>108</v>
      </c>
      <c r="C13" s="24" t="s">
        <v>109</v>
      </c>
      <c r="D13" s="24" t="s">
        <v>110</v>
      </c>
      <c r="E13" s="25" t="s">
        <v>111</v>
      </c>
    </row>
    <row r="14" spans="1:5" ht="28.8" x14ac:dyDescent="0.3">
      <c r="A14" t="str" cm="1">
        <f t="array" ref="A14">INDEX(TopRatios[Ratio],ROW()-13)</f>
        <v>Current Ratio</v>
      </c>
      <c r="B14" s="21" cm="1">
        <f t="array" ref="B14">INDEX(TopRatios[Result],ROW()-13)</f>
        <v>1.1875</v>
      </c>
      <c r="C14" s="21" cm="1">
        <f t="array" ref="C14">INDEX(CompetitorRatios[Result],ROW()-13)</f>
        <v>1.013526119402985</v>
      </c>
      <c r="D14" s="21">
        <f>IF(RatioComparison[[#This Row],[Competitor (Tim Hortons/RBI)]]="","",RatioComparison[[#This Row],[Our Business]]-RatioComparison[[#This Row],[Competitor (Tim Hortons/RBI)]])</f>
        <v>0.17397388059701502</v>
      </c>
      <c r="E14" s="26" t="str">
        <f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f>
        <v>Better: higher than Tim Hortons by 0.17.</v>
      </c>
    </row>
    <row r="15" spans="1:5" ht="28.8" x14ac:dyDescent="0.3">
      <c r="A15" t="str" cm="1">
        <f t="array" ref="A15">INDEX(TopRatios[Ratio],ROW()-13)</f>
        <v>Debt-to-Equity</v>
      </c>
      <c r="B15" s="21" cm="1">
        <f t="array" ref="B15">INDEX(TopRatios[Result],ROW()-13)</f>
        <v>0.35555555555555557</v>
      </c>
      <c r="C15" s="21" cm="1">
        <f t="array" ref="C15">INDEX(CompetitorRatios[Result],ROW()-13)</f>
        <v>3.945243128964059</v>
      </c>
      <c r="D15" s="21">
        <f>IF(RatioComparison[[#This Row],[Competitor (Tim Hortons/RBI)]]="","",RatioComparison[[#This Row],[Our Business]]-RatioComparison[[#This Row],[Competitor (Tim Hortons/RBI)]])</f>
        <v>-3.5896875734085034</v>
      </c>
      <c r="E15" s="26" t="str">
        <f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f>
        <v>Better: lower leverage by 3.59 (we use less debt).</v>
      </c>
    </row>
    <row r="16" spans="1:5" ht="28.8" x14ac:dyDescent="0.3">
      <c r="A16" t="str" cm="1">
        <f t="array" ref="A16">INDEX(TopRatios[Ratio],ROW()-13)</f>
        <v>Gross Margin</v>
      </c>
      <c r="B16" s="22" cm="1">
        <f t="array" ref="B16">INDEX(TopRatios[Result],ROW()-13)</f>
        <v>0.81306715063520874</v>
      </c>
      <c r="C16" s="22" cm="1">
        <f t="array" ref="C16">INDEX(CompetitorRatios[Result],ROW()-13)</f>
        <v>0.58267903878182248</v>
      </c>
      <c r="D16" s="22">
        <f>IF(RatioComparison[[#This Row],[Competitor (Tim Hortons/RBI)]]="","",RatioComparison[[#This Row],[Our Business]]-RatioComparison[[#This Row],[Competitor (Tim Hortons/RBI)]])</f>
        <v>0.23038811185338626</v>
      </c>
      <c r="E16" s="27" t="str">
        <f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f>
        <v>Better: higher than Tim Hortons by 23.04%.</v>
      </c>
    </row>
    <row r="17" spans="1:5" ht="28.8" x14ac:dyDescent="0.3">
      <c r="A17" t="str" cm="1">
        <f t="array" ref="A17">INDEX(TopRatios[Ratio],ROW()-13)</f>
        <v>Operating Margin (EBIT)</v>
      </c>
      <c r="B17" s="22" cm="1">
        <f t="array" ref="B17">INDEX(TopRatios[Result],ROW()-13)</f>
        <v>2.8130671506352088E-2</v>
      </c>
      <c r="C17" s="22" cm="1">
        <f t="array" ref="C17">INDEX(CompetitorRatios[Result],ROW()-13)</f>
        <v>0.28777064001903402</v>
      </c>
      <c r="D17" s="22">
        <f>IF(RatioComparison[[#This Row],[Competitor (Tim Hortons/RBI)]]="","",RatioComparison[[#This Row],[Our Business]]-RatioComparison[[#This Row],[Competitor (Tim Hortons/RBI)]])</f>
        <v>-0.25963996851268195</v>
      </c>
      <c r="E17" s="27" t="str">
        <f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f>
        <v>Worse: lower than Tim Hortons by 25.96%.</v>
      </c>
    </row>
    <row r="18" spans="1:5" ht="28.8" x14ac:dyDescent="0.3">
      <c r="A18" t="str" cm="1">
        <f t="array" ref="A18">INDEX(TopRatios[Ratio],ROW()-13)</f>
        <v>Return on Equity (ROE)</v>
      </c>
      <c r="B18" s="22" cm="1">
        <f t="array" ref="B18">INDEX(TopRatios[Result],ROW()-13)</f>
        <v>0.18888888888888888</v>
      </c>
      <c r="C18" s="22" cm="1">
        <f t="array" ref="C18">INDEX(CompetitorRatios[Result],ROW()-13)</f>
        <v>0.30549682875264272</v>
      </c>
      <c r="D18" s="22">
        <f>IF(RatioComparison[[#This Row],[Competitor (Tim Hortons/RBI)]]="","",RatioComparison[[#This Row],[Our Business]]-RatioComparison[[#This Row],[Competitor (Tim Hortons/RBI)]])</f>
        <v>-0.11660793986375384</v>
      </c>
      <c r="E18" s="27" t="str">
        <f>_xlfn.LET(_xlpm.r,RatioComparison[[#This Row],[Ratio]],_xlpm.d,RatioComparison[[#This Row],[Difference (Our - Comp)]],_xlpm.fmt,IF(OR(_xlpm.r="Gross Margin",_xlpm.r="Operating Margin (EBIT)",_xlpm.r="Return on Equity (ROE)"),"0.00%","0.00"),_xlpm.delta,TEXT(ABS(_xlpm.d),_xlpm.fmt),IF(_xlpm.d=0,"About the same as Tim Hortons.",IF(_xlpm.r="Debt-to-Equity",IF(_xlpm.d&lt;0,"Better: lower leverage by "&amp;_xlpm.delta&amp;" (we use less debt).","Worse: higher leverage by "&amp;_xlpm.delta&amp;" (we use more debt)."),IF(_xlpm.d&gt;0,"Better: higher than Tim Hortons by "&amp;_xlpm.delta&amp;".","Worse: lower than Tim Hortons by "&amp;_xlpm.delta&amp;"."))))</f>
        <v>Worse: lower than Tim Hortons by 11.66%.</v>
      </c>
    </row>
  </sheetData>
  <mergeCells count="4">
    <mergeCell ref="A1:D1"/>
    <mergeCell ref="A2:D2"/>
    <mergeCell ref="A10:D10"/>
    <mergeCell ref="A12:D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1BF1-BE1B-4FD4-9A1B-733C958B9E1D}">
  <dimension ref="A1:E25"/>
  <sheetViews>
    <sheetView workbookViewId="0">
      <selection activeCell="E33" sqref="E33"/>
    </sheetView>
  </sheetViews>
  <sheetFormatPr defaultRowHeight="14.4" x14ac:dyDescent="0.3"/>
  <cols>
    <col min="1" max="1" width="60.6640625" bestFit="1" customWidth="1"/>
    <col min="2" max="2" width="37.5546875" bestFit="1" customWidth="1"/>
    <col min="3" max="3" width="79.6640625" bestFit="1" customWidth="1"/>
    <col min="4" max="4" width="8.33203125" bestFit="1" customWidth="1"/>
    <col min="5" max="5" width="37.77734375" style="24" customWidth="1"/>
  </cols>
  <sheetData>
    <row r="1" spans="1:5" x14ac:dyDescent="0.3">
      <c r="A1" s="28" t="s">
        <v>86</v>
      </c>
      <c r="B1" s="28"/>
      <c r="C1" s="28"/>
      <c r="D1" s="28"/>
      <c r="E1" s="28"/>
    </row>
    <row r="2" spans="1:5" x14ac:dyDescent="0.3">
      <c r="A2" s="28" t="s">
        <v>87</v>
      </c>
      <c r="B2" s="28"/>
      <c r="C2" s="28"/>
      <c r="D2" s="28"/>
      <c r="E2" s="28"/>
    </row>
    <row r="4" spans="1:5" x14ac:dyDescent="0.3">
      <c r="A4" s="29" t="s">
        <v>88</v>
      </c>
      <c r="B4" s="29"/>
    </row>
    <row r="5" spans="1:5" x14ac:dyDescent="0.3">
      <c r="A5" t="s">
        <v>89</v>
      </c>
      <c r="B5" s="30">
        <v>8406</v>
      </c>
    </row>
    <row r="6" spans="1:5" x14ac:dyDescent="0.3">
      <c r="A6" t="s">
        <v>90</v>
      </c>
      <c r="B6" s="30">
        <v>2180</v>
      </c>
    </row>
    <row r="7" spans="1:5" x14ac:dyDescent="0.3">
      <c r="A7" t="s">
        <v>91</v>
      </c>
      <c r="B7" s="30">
        <v>1328</v>
      </c>
    </row>
    <row r="8" spans="1:5" x14ac:dyDescent="0.3">
      <c r="A8" t="s">
        <v>92</v>
      </c>
      <c r="B8" s="30">
        <f>B5-B6-B7</f>
        <v>4898</v>
      </c>
    </row>
    <row r="9" spans="1:5" x14ac:dyDescent="0.3">
      <c r="A9" t="s">
        <v>60</v>
      </c>
      <c r="B9" s="30">
        <v>2419</v>
      </c>
    </row>
    <row r="10" spans="1:5" x14ac:dyDescent="0.3">
      <c r="A10" t="s">
        <v>65</v>
      </c>
      <c r="B10" s="30">
        <v>1445</v>
      </c>
    </row>
    <row r="11" spans="1:5" x14ac:dyDescent="0.3">
      <c r="A11" t="s">
        <v>8</v>
      </c>
      <c r="B11" s="30">
        <v>2173</v>
      </c>
    </row>
    <row r="12" spans="1:5" x14ac:dyDescent="0.3">
      <c r="A12" t="s">
        <v>20</v>
      </c>
      <c r="B12" s="30">
        <v>2144</v>
      </c>
    </row>
    <row r="13" spans="1:5" x14ac:dyDescent="0.3">
      <c r="A13" t="s">
        <v>93</v>
      </c>
      <c r="B13" s="30">
        <v>18661</v>
      </c>
    </row>
    <row r="14" spans="1:5" x14ac:dyDescent="0.3">
      <c r="A14" t="s">
        <v>94</v>
      </c>
      <c r="B14" s="30">
        <v>4730</v>
      </c>
    </row>
    <row r="16" spans="1:5" x14ac:dyDescent="0.3">
      <c r="A16" s="29" t="s">
        <v>95</v>
      </c>
      <c r="B16" s="29"/>
      <c r="C16" s="29"/>
      <c r="D16" s="29"/>
      <c r="E16" s="29"/>
    </row>
    <row r="17" spans="1:5" x14ac:dyDescent="0.3">
      <c r="A17" t="s">
        <v>96</v>
      </c>
      <c r="B17" t="s">
        <v>97</v>
      </c>
      <c r="C17" t="s">
        <v>98</v>
      </c>
    </row>
    <row r="18" spans="1:5" x14ac:dyDescent="0.3">
      <c r="A18" t="s">
        <v>99</v>
      </c>
      <c r="B18" t="s">
        <v>100</v>
      </c>
      <c r="C18" t="s">
        <v>101</v>
      </c>
    </row>
    <row r="20" spans="1:5" x14ac:dyDescent="0.3">
      <c r="A20" t="s">
        <v>71</v>
      </c>
      <c r="B20" t="s">
        <v>72</v>
      </c>
      <c r="C20" t="s">
        <v>73</v>
      </c>
      <c r="D20" t="s">
        <v>74</v>
      </c>
      <c r="E20" s="24" t="s">
        <v>80</v>
      </c>
    </row>
    <row r="21" spans="1:5" ht="28.8" x14ac:dyDescent="0.3">
      <c r="A21" t="s">
        <v>75</v>
      </c>
      <c r="B21" s="30">
        <f>CHOOSE(ROW()-20,$B$11,$B$13,$B$8,$B$9,$B$10)</f>
        <v>2173</v>
      </c>
      <c r="C21" s="30">
        <f>CHOOSE(ROW()-20,$B$12,$B$14,$B$5,$B$5,$B$14)</f>
        <v>2144</v>
      </c>
      <c r="D21" s="21">
        <f>IF(CompetitorRatios[[#This Row],[Denominator]]=0,"",CompetitorRatios[[#This Row],[Numerator]]/CompetitorRatios[[#This Row],[Denominator]])</f>
        <v>1.013526119402985</v>
      </c>
      <c r="E21" s="24" t="s">
        <v>102</v>
      </c>
    </row>
    <row r="22" spans="1:5" ht="28.8" x14ac:dyDescent="0.3">
      <c r="A22" t="s">
        <v>76</v>
      </c>
      <c r="B22" s="30">
        <f>CHOOSE(ROW()-20,$B$11,$B$13,$B$8,$B$9,$B$10)</f>
        <v>18661</v>
      </c>
      <c r="C22" s="30">
        <f>CHOOSE(ROW()-20,$B$12,$B$14,$B$5,$B$5,$B$14)</f>
        <v>4730</v>
      </c>
      <c r="D22" s="21">
        <f>IF(CompetitorRatios[[#This Row],[Denominator]]=0,"",CompetitorRatios[[#This Row],[Numerator]]/CompetitorRatios[[#This Row],[Denominator]])</f>
        <v>3.945243128964059</v>
      </c>
      <c r="E22" s="24" t="s">
        <v>103</v>
      </c>
    </row>
    <row r="23" spans="1:5" ht="28.8" x14ac:dyDescent="0.3">
      <c r="A23" t="s">
        <v>39</v>
      </c>
      <c r="B23" s="30">
        <f>CHOOSE(ROW()-20,$B$11,$B$13,$B$8,$B$9,$B$10)</f>
        <v>4898</v>
      </c>
      <c r="C23" s="30">
        <f>CHOOSE(ROW()-20,$B$12,$B$14,$B$5,$B$5,$B$14)</f>
        <v>8406</v>
      </c>
      <c r="D23" s="22">
        <f>IF(CompetitorRatios[[#This Row],[Denominator]]=0,"",CompetitorRatios[[#This Row],[Numerator]]/CompetitorRatios[[#This Row],[Denominator]])</f>
        <v>0.58267903878182248</v>
      </c>
      <c r="E23" s="24" t="s">
        <v>104</v>
      </c>
    </row>
    <row r="24" spans="1:5" x14ac:dyDescent="0.3">
      <c r="A24" t="s">
        <v>77</v>
      </c>
      <c r="B24" s="30">
        <f>CHOOSE(ROW()-20,$B$11,$B$13,$B$8,$B$9,$B$10)</f>
        <v>2419</v>
      </c>
      <c r="C24" s="30">
        <f>CHOOSE(ROW()-20,$B$12,$B$14,$B$5,$B$5,$B$14)</f>
        <v>8406</v>
      </c>
      <c r="D24" s="22">
        <f>IF(CompetitorRatios[[#This Row],[Denominator]]=0,"",CompetitorRatios[[#This Row],[Numerator]]/CompetitorRatios[[#This Row],[Denominator]])</f>
        <v>0.28777064001903402</v>
      </c>
      <c r="E24" s="24" t="s">
        <v>105</v>
      </c>
    </row>
    <row r="25" spans="1:5" ht="28.8" x14ac:dyDescent="0.3">
      <c r="A25" t="s">
        <v>78</v>
      </c>
      <c r="B25" s="30">
        <f>CHOOSE(ROW()-20,$B$11,$B$13,$B$8,$B$9,$B$10)</f>
        <v>1445</v>
      </c>
      <c r="C25" s="30">
        <f>CHOOSE(ROW()-20,$B$12,$B$14,$B$5,$B$5,$B$14)</f>
        <v>4730</v>
      </c>
      <c r="D25" s="22">
        <f>IF(CompetitorRatios[[#This Row],[Denominator]]=0,"",CompetitorRatios[[#This Row],[Numerator]]/CompetitorRatios[[#This Row],[Denominator]])</f>
        <v>0.30549682875264272</v>
      </c>
      <c r="E25" s="24" t="s">
        <v>106</v>
      </c>
    </row>
  </sheetData>
  <mergeCells count="4">
    <mergeCell ref="A1:E1"/>
    <mergeCell ref="A2:E2"/>
    <mergeCell ref="A4:B4"/>
    <mergeCell ref="A16:E1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PandL</vt:lpstr>
      <vt:lpstr>Ratios</vt:lpstr>
      <vt:lpstr>Competitor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2026-01-29T17:53:44Z</dcterms:created>
  <dcterms:modified xsi:type="dcterms:W3CDTF">2026-01-29T19:22:07Z</dcterms:modified>
</cp:coreProperties>
</file>