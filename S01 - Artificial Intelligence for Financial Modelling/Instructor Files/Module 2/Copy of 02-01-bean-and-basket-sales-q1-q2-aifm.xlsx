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Hp\Documents\Axial Consulitng\AI in Financial Modelling Jan 2026\Work files\Module 2\"/>
    </mc:Choice>
  </mc:AlternateContent>
  <xr:revisionPtr revIDLastSave="0" documentId="13_ncr:1_{113F79ED-16E8-4096-8FDC-E3E2E088E558}" xr6:coauthVersionLast="47" xr6:coauthVersionMax="47" xr10:uidLastSave="{00000000-0000-0000-0000-000000000000}"/>
  <bookViews>
    <workbookView xWindow="1008" yWindow="552" windowWidth="22032" windowHeight="12408" xr2:uid="{00000000-000D-0000-FFFF-FFFF00000000}"/>
  </bookViews>
  <sheets>
    <sheet name="Sales" sheetId="1" r:id="rId1"/>
  </sheets>
  <definedNames>
    <definedName name="_xlnm.Print_Titles" localSheetId="0">Sales!$1:$3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9" i="1" l="1"/>
  <c r="D29" i="1"/>
  <c r="H28" i="1"/>
  <c r="H30" i="1" s="1"/>
  <c r="D28" i="1"/>
</calcChain>
</file>

<file path=xl/sharedStrings.xml><?xml version="1.0" encoding="utf-8"?>
<sst xmlns="http://schemas.openxmlformats.org/spreadsheetml/2006/main" count="58" uniqueCount="34">
  <si>
    <t>Quarter 1 (Jan–Mar 2025)</t>
  </si>
  <si>
    <t>Quarter 2 (Apr–Jun 2025)</t>
  </si>
  <si>
    <t>Date</t>
  </si>
  <si>
    <t>Item</t>
  </si>
  <si>
    <t>Quantity</t>
  </si>
  <si>
    <t>Espresso</t>
  </si>
  <si>
    <t>Americano</t>
  </si>
  <si>
    <t>Cappuccino</t>
  </si>
  <si>
    <t>Latte</t>
  </si>
  <si>
    <t>Mocha</t>
  </si>
  <si>
    <t>Cold Brew</t>
  </si>
  <si>
    <t>Iced Latte</t>
  </si>
  <si>
    <t>Chai Tea Latte</t>
  </si>
  <si>
    <t>Hot Chocolate</t>
  </si>
  <si>
    <t>Tea (Assorted)</t>
  </si>
  <si>
    <t>Croissant</t>
  </si>
  <si>
    <t>Blueberry Muffin</t>
  </si>
  <si>
    <t>Chocolate Chip Cookie</t>
  </si>
  <si>
    <t>Bagel</t>
  </si>
  <si>
    <t>Scone</t>
  </si>
  <si>
    <t>Cinnamon Roll</t>
  </si>
  <si>
    <t>Brownie</t>
  </si>
  <si>
    <t>Banana Bread Slice</t>
  </si>
  <si>
    <t>Cheesecake Slice</t>
  </si>
  <si>
    <t>Breakfast Sandwich</t>
  </si>
  <si>
    <t>Summary</t>
  </si>
  <si>
    <t/>
  </si>
  <si>
    <t>Q1</t>
  </si>
  <si>
    <t>Q2</t>
  </si>
  <si>
    <t>Total Quantity</t>
  </si>
  <si>
    <t>Total Sales ($)</t>
  </si>
  <si>
    <t>Quantity Change % (Q2 vs Q1)</t>
  </si>
  <si>
    <t>Bean and Basket : Sales Records</t>
  </si>
  <si>
    <t>PU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</si>
</sst>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5" formatCode="mmm\ d\,\ yyyy"/>
    <numFmt numFmtId="166" formatCode="\$#,##0.00"/>
    <numFmt numFmtId="167" formatCode="0.0%"/>
    <numFmt numFmtId="169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b/>
      <sz val="12"/>
      <color rgb="FFFFFFFF"/>
      <name val="Calibri"/>
    </font>
    <font>
      <b/>
      <sz val="11"/>
      <color rgb="FFFFFFFF"/>
      <name val="Calibri"/>
    </font>
    <font>
      <b/>
      <sz val="11"/>
      <name val="Calibri"/>
    </font>
    <font>
      <i/>
      <sz val="10"/>
      <color rgb="FF404040"/>
      <name val="Calibri"/>
    </font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F75B5"/>
      </patternFill>
    </fill>
    <fill>
      <patternFill patternType="solid">
        <fgColor rgb="FF305496"/>
      </patternFill>
    </fill>
    <fill>
      <patternFill patternType="solid">
        <fgColor rgb="FFF2F2F2"/>
      </patternFill>
    </fill>
    <fill>
      <patternFill patternType="solid">
        <fgColor rgb="FFD9E1F2"/>
      </patternFill>
    </fill>
    <fill>
      <patternFill patternType="solid">
        <fgColor rgb="FFFFFFFF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">
    <xf numFmtId="0" fontId="0" fillId="0" borderId="0"/>
    <xf numFmtId="43" fontId="6" fillId="0" borderId="0" applyFont="0" applyFill="0" applyBorder="0" applyAlignment="0" applyProtection="0"/>
  </cellStyleXfs>
  <cellXfs count="32">
    <xf numFmtId="0" fontId="0" fillId="0" borderId="0" xfId="0"/>
    <xf numFmtId="0" fontId="3" fillId="4" borderId="1" xfId="0" applyFont="1" applyFill="1" applyBorder="1" applyAlignment="1">
      <alignment horizontal="center" vertical="center"/>
    </xf>
    <xf numFmtId="165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166" fontId="0" fillId="0" borderId="1" xfId="0" applyNumberFormat="1" applyBorder="1" applyAlignment="1">
      <alignment horizontal="right" vertical="center"/>
    </xf>
    <xf numFmtId="1" fontId="0" fillId="0" borderId="1" xfId="0" applyNumberFormat="1" applyBorder="1" applyAlignment="1">
      <alignment horizontal="right" vertical="center"/>
    </xf>
    <xf numFmtId="165" fontId="0" fillId="5" borderId="1" xfId="0" applyNumberFormat="1" applyFill="1" applyBorder="1" applyAlignment="1">
      <alignment horizontal="left" vertical="center"/>
    </xf>
    <xf numFmtId="0" fontId="0" fillId="5" borderId="1" xfId="0" applyFill="1" applyBorder="1" applyAlignment="1">
      <alignment horizontal="left" vertical="center"/>
    </xf>
    <xf numFmtId="166" fontId="0" fillId="5" borderId="1" xfId="0" applyNumberFormat="1" applyFill="1" applyBorder="1" applyAlignment="1">
      <alignment horizontal="right" vertical="center"/>
    </xf>
    <xf numFmtId="1" fontId="0" fillId="5" borderId="1" xfId="0" applyNumberFormat="1" applyFill="1" applyBorder="1" applyAlignment="1">
      <alignment horizontal="right" vertical="center"/>
    </xf>
    <xf numFmtId="0" fontId="4" fillId="7" borderId="1" xfId="0" applyFont="1" applyFill="1" applyBorder="1" applyAlignment="1">
      <alignment horizontal="left" vertical="center"/>
    </xf>
    <xf numFmtId="0" fontId="0" fillId="7" borderId="1" xfId="0" applyFill="1" applyBorder="1" applyAlignment="1">
      <alignment horizontal="right" vertical="center"/>
    </xf>
    <xf numFmtId="0" fontId="4" fillId="6" borderId="0" xfId="0" applyFont="1" applyFill="1" applyAlignment="1">
      <alignment horizontal="left" vertical="center"/>
    </xf>
    <xf numFmtId="0" fontId="0" fillId="0" borderId="0" xfId="0"/>
    <xf numFmtId="0" fontId="2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4" fillId="8" borderId="0" xfId="0" applyFont="1" applyFill="1" applyAlignment="1">
      <alignment horizontal="center" vertical="center"/>
    </xf>
    <xf numFmtId="166" fontId="4" fillId="8" borderId="1" xfId="0" applyNumberFormat="1" applyFont="1" applyFill="1" applyBorder="1" applyAlignment="1">
      <alignment horizontal="right" vertical="center"/>
    </xf>
    <xf numFmtId="0" fontId="0" fillId="9" borderId="0" xfId="0" applyFill="1"/>
    <xf numFmtId="0" fontId="4" fillId="9" borderId="2" xfId="0" applyFont="1" applyFill="1" applyBorder="1" applyAlignment="1">
      <alignment horizontal="left" vertical="center"/>
    </xf>
    <xf numFmtId="0" fontId="4" fillId="9" borderId="3" xfId="0" applyFont="1" applyFill="1" applyBorder="1" applyAlignment="1">
      <alignment horizontal="left" vertical="center"/>
    </xf>
    <xf numFmtId="0" fontId="4" fillId="9" borderId="4" xfId="0" applyFont="1" applyFill="1" applyBorder="1" applyAlignment="1">
      <alignment horizontal="left" vertical="center"/>
    </xf>
    <xf numFmtId="0" fontId="0" fillId="8" borderId="0" xfId="0" applyFill="1"/>
    <xf numFmtId="0" fontId="0" fillId="8" borderId="2" xfId="0" applyFill="1" applyBorder="1" applyAlignment="1">
      <alignment horizontal="center" vertical="center"/>
    </xf>
    <xf numFmtId="0" fontId="0" fillId="8" borderId="3" xfId="0" applyFill="1" applyBorder="1" applyAlignment="1">
      <alignment horizontal="center" vertical="center"/>
    </xf>
    <xf numFmtId="0" fontId="0" fillId="8" borderId="4" xfId="0" applyFill="1" applyBorder="1" applyAlignment="1">
      <alignment horizontal="center" vertical="center"/>
    </xf>
    <xf numFmtId="169" fontId="4" fillId="8" borderId="1" xfId="1" applyNumberFormat="1" applyFont="1" applyFill="1" applyBorder="1" applyAlignment="1">
      <alignment horizontal="right" vertical="center"/>
    </xf>
    <xf numFmtId="169" fontId="0" fillId="8" borderId="2" xfId="1" applyNumberFormat="1" applyFont="1" applyFill="1" applyBorder="1" applyAlignment="1">
      <alignment horizontal="center" vertical="center"/>
    </xf>
    <xf numFmtId="169" fontId="0" fillId="8" borderId="3" xfId="1" applyNumberFormat="1" applyFont="1" applyFill="1" applyBorder="1" applyAlignment="1">
      <alignment horizontal="center" vertical="center"/>
    </xf>
    <xf numFmtId="169" fontId="0" fillId="8" borderId="4" xfId="1" applyNumberFormat="1" applyFont="1" applyFill="1" applyBorder="1" applyAlignment="1">
      <alignment horizontal="center" vertical="center"/>
    </xf>
    <xf numFmtId="167" fontId="7" fillId="10" borderId="1" xfId="0" applyNumberFormat="1" applyFont="1" applyFill="1" applyBorder="1" applyAlignment="1">
      <alignment horizontal="right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2"/>
  <sheetViews>
    <sheetView tabSelected="1" topLeftCell="A6" workbookViewId="0">
      <selection activeCell="J31" sqref="J31"/>
    </sheetView>
  </sheetViews>
  <sheetFormatPr defaultRowHeight="14.4" x14ac:dyDescent="0.3"/>
  <cols>
    <col min="1" max="1" width="13" customWidth="1"/>
    <col min="2" max="2" width="22" customWidth="1"/>
    <col min="3" max="3" width="12" customWidth="1"/>
    <col min="4" max="4" width="10" customWidth="1"/>
    <col min="5" max="5" width="13" customWidth="1"/>
    <col min="6" max="6" width="22" customWidth="1"/>
    <col min="7" max="7" width="12" customWidth="1"/>
    <col min="8" max="8" width="10" customWidth="1"/>
  </cols>
  <sheetData>
    <row r="1" spans="1:8" ht="22.35" customHeight="1" x14ac:dyDescent="0.3">
      <c r="A1" s="15" t="s">
        <v>32</v>
      </c>
      <c r="B1" s="13"/>
      <c r="C1" s="13"/>
      <c r="D1" s="13"/>
      <c r="E1" s="13"/>
      <c r="F1" s="13"/>
      <c r="G1" s="13"/>
      <c r="H1" s="13"/>
    </row>
    <row r="2" spans="1:8" ht="16.05" customHeight="1" x14ac:dyDescent="0.3">
      <c r="A2" s="14" t="s">
        <v>0</v>
      </c>
      <c r="B2" s="13"/>
      <c r="C2" s="13"/>
      <c r="D2" s="13"/>
      <c r="E2" s="14" t="s">
        <v>1</v>
      </c>
      <c r="F2" s="13"/>
      <c r="G2" s="13"/>
      <c r="H2" s="13"/>
    </row>
    <row r="3" spans="1:8" ht="14.4" customHeight="1" x14ac:dyDescent="0.3">
      <c r="A3" s="1" t="s">
        <v>2</v>
      </c>
      <c r="B3" s="1" t="s">
        <v>3</v>
      </c>
      <c r="C3" s="1" t="s">
        <v>33</v>
      </c>
      <c r="D3" s="1" t="s">
        <v>4</v>
      </c>
      <c r="E3" s="1" t="s">
        <v>2</v>
      </c>
      <c r="F3" s="1" t="s">
        <v>3</v>
      </c>
      <c r="G3" s="1" t="s">
        <v>33</v>
      </c>
      <c r="H3" s="1" t="s">
        <v>4</v>
      </c>
    </row>
    <row r="4" spans="1:8" x14ac:dyDescent="0.3">
      <c r="A4" s="2">
        <v>45660</v>
      </c>
      <c r="B4" s="3" t="s">
        <v>5</v>
      </c>
      <c r="C4" s="4">
        <v>3</v>
      </c>
      <c r="D4" s="5">
        <v>179</v>
      </c>
      <c r="E4" s="2">
        <v>45749</v>
      </c>
      <c r="F4" s="3" t="s">
        <v>5</v>
      </c>
      <c r="G4" s="4">
        <v>3</v>
      </c>
      <c r="H4" s="5">
        <v>164</v>
      </c>
    </row>
    <row r="5" spans="1:8" x14ac:dyDescent="0.3">
      <c r="A5" s="6">
        <v>45664</v>
      </c>
      <c r="B5" s="7" t="s">
        <v>6</v>
      </c>
      <c r="C5" s="8">
        <v>3.25</v>
      </c>
      <c r="D5" s="9">
        <v>135</v>
      </c>
      <c r="E5" s="6">
        <v>45754</v>
      </c>
      <c r="F5" s="7" t="s">
        <v>6</v>
      </c>
      <c r="G5" s="8">
        <v>3.25</v>
      </c>
      <c r="H5" s="9">
        <v>124</v>
      </c>
    </row>
    <row r="6" spans="1:8" x14ac:dyDescent="0.3">
      <c r="A6" s="2">
        <v>45667</v>
      </c>
      <c r="B6" s="3" t="s">
        <v>7</v>
      </c>
      <c r="C6" s="4">
        <v>4</v>
      </c>
      <c r="D6" s="5">
        <v>116</v>
      </c>
      <c r="E6" s="2">
        <v>45758</v>
      </c>
      <c r="F6" s="3" t="s">
        <v>7</v>
      </c>
      <c r="G6" s="4">
        <v>4</v>
      </c>
      <c r="H6" s="5">
        <v>107</v>
      </c>
    </row>
    <row r="7" spans="1:8" x14ac:dyDescent="0.3">
      <c r="A7" s="6">
        <v>45671</v>
      </c>
      <c r="B7" s="7" t="s">
        <v>8</v>
      </c>
      <c r="C7" s="8">
        <v>4.5</v>
      </c>
      <c r="D7" s="9">
        <v>168</v>
      </c>
      <c r="E7" s="6">
        <v>45761</v>
      </c>
      <c r="F7" s="7" t="s">
        <v>8</v>
      </c>
      <c r="G7" s="8">
        <v>4.5</v>
      </c>
      <c r="H7" s="9">
        <v>155</v>
      </c>
    </row>
    <row r="8" spans="1:8" x14ac:dyDescent="0.3">
      <c r="A8" s="2">
        <v>45676</v>
      </c>
      <c r="B8" s="3" t="s">
        <v>9</v>
      </c>
      <c r="C8" s="4">
        <v>4.75</v>
      </c>
      <c r="D8" s="5">
        <v>145</v>
      </c>
      <c r="E8" s="2">
        <v>45766</v>
      </c>
      <c r="F8" s="3" t="s">
        <v>9</v>
      </c>
      <c r="G8" s="4">
        <v>4.75</v>
      </c>
      <c r="H8" s="5">
        <v>133</v>
      </c>
    </row>
    <row r="9" spans="1:8" x14ac:dyDescent="0.3">
      <c r="A9" s="6">
        <v>45679</v>
      </c>
      <c r="B9" s="7" t="s">
        <v>10</v>
      </c>
      <c r="C9" s="8">
        <v>4.25</v>
      </c>
      <c r="D9" s="9">
        <v>137</v>
      </c>
      <c r="E9" s="6">
        <v>45769</v>
      </c>
      <c r="F9" s="7" t="s">
        <v>10</v>
      </c>
      <c r="G9" s="8">
        <v>4.25</v>
      </c>
      <c r="H9" s="9">
        <v>126</v>
      </c>
    </row>
    <row r="10" spans="1:8" x14ac:dyDescent="0.3">
      <c r="A10" s="2">
        <v>45682</v>
      </c>
      <c r="B10" s="3" t="s">
        <v>11</v>
      </c>
      <c r="C10" s="4">
        <v>4.75</v>
      </c>
      <c r="D10" s="5">
        <v>143</v>
      </c>
      <c r="E10" s="2">
        <v>45772</v>
      </c>
      <c r="F10" s="3" t="s">
        <v>11</v>
      </c>
      <c r="G10" s="4">
        <v>4.75</v>
      </c>
      <c r="H10" s="5">
        <v>132</v>
      </c>
    </row>
    <row r="11" spans="1:8" x14ac:dyDescent="0.3">
      <c r="A11" s="6">
        <v>45687</v>
      </c>
      <c r="B11" s="7" t="s">
        <v>12</v>
      </c>
      <c r="C11" s="8">
        <v>4.5</v>
      </c>
      <c r="D11" s="9">
        <v>131</v>
      </c>
      <c r="E11" s="6">
        <v>45777</v>
      </c>
      <c r="F11" s="7" t="s">
        <v>12</v>
      </c>
      <c r="G11" s="8">
        <v>4.5</v>
      </c>
      <c r="H11" s="9">
        <v>121</v>
      </c>
    </row>
    <row r="12" spans="1:8" x14ac:dyDescent="0.3">
      <c r="A12" s="2">
        <v>45690</v>
      </c>
      <c r="B12" s="3" t="s">
        <v>13</v>
      </c>
      <c r="C12" s="4">
        <v>3.75</v>
      </c>
      <c r="D12" s="5">
        <v>162</v>
      </c>
      <c r="E12" s="2">
        <v>45782</v>
      </c>
      <c r="F12" s="3" t="s">
        <v>13</v>
      </c>
      <c r="G12" s="4">
        <v>3.75</v>
      </c>
      <c r="H12" s="5">
        <v>149</v>
      </c>
    </row>
    <row r="13" spans="1:8" x14ac:dyDescent="0.3">
      <c r="A13" s="6">
        <v>45694</v>
      </c>
      <c r="B13" s="7" t="s">
        <v>14</v>
      </c>
      <c r="C13" s="8">
        <v>2.75</v>
      </c>
      <c r="D13" s="9">
        <v>126</v>
      </c>
      <c r="E13" s="6">
        <v>45787</v>
      </c>
      <c r="F13" s="7" t="s">
        <v>14</v>
      </c>
      <c r="G13" s="8">
        <v>2.75</v>
      </c>
      <c r="H13" s="9">
        <v>116</v>
      </c>
    </row>
    <row r="14" spans="1:8" x14ac:dyDescent="0.3">
      <c r="A14" s="2">
        <v>45699</v>
      </c>
      <c r="B14" s="3" t="s">
        <v>15</v>
      </c>
      <c r="C14" s="4">
        <v>3.5</v>
      </c>
      <c r="D14" s="5">
        <v>123</v>
      </c>
      <c r="E14" s="2">
        <v>45790</v>
      </c>
      <c r="F14" s="3" t="s">
        <v>15</v>
      </c>
      <c r="G14" s="4">
        <v>3.5</v>
      </c>
      <c r="H14" s="5">
        <v>113</v>
      </c>
    </row>
    <row r="15" spans="1:8" x14ac:dyDescent="0.3">
      <c r="A15" s="6">
        <v>45702</v>
      </c>
      <c r="B15" s="7" t="s">
        <v>16</v>
      </c>
      <c r="C15" s="8">
        <v>3.25</v>
      </c>
      <c r="D15" s="9">
        <v>127</v>
      </c>
      <c r="E15" s="6">
        <v>45795</v>
      </c>
      <c r="F15" s="7" t="s">
        <v>16</v>
      </c>
      <c r="G15" s="8">
        <v>3.25</v>
      </c>
      <c r="H15" s="9">
        <v>117</v>
      </c>
    </row>
    <row r="16" spans="1:8" x14ac:dyDescent="0.3">
      <c r="A16" s="2">
        <v>45707</v>
      </c>
      <c r="B16" s="3" t="s">
        <v>17</v>
      </c>
      <c r="C16" s="4">
        <v>2.25</v>
      </c>
      <c r="D16" s="5">
        <v>137</v>
      </c>
      <c r="E16" s="2">
        <v>45800</v>
      </c>
      <c r="F16" s="3" t="s">
        <v>17</v>
      </c>
      <c r="G16" s="4">
        <v>2.25</v>
      </c>
      <c r="H16" s="5">
        <v>126</v>
      </c>
    </row>
    <row r="17" spans="1:8" x14ac:dyDescent="0.3">
      <c r="A17" s="6">
        <v>45710</v>
      </c>
      <c r="B17" s="7" t="s">
        <v>18</v>
      </c>
      <c r="C17" s="8">
        <v>2.5</v>
      </c>
      <c r="D17" s="9">
        <v>114</v>
      </c>
      <c r="E17" s="6">
        <v>45804</v>
      </c>
      <c r="F17" s="7" t="s">
        <v>18</v>
      </c>
      <c r="G17" s="8">
        <v>2.5</v>
      </c>
      <c r="H17" s="9">
        <v>105</v>
      </c>
    </row>
    <row r="18" spans="1:8" x14ac:dyDescent="0.3">
      <c r="A18" s="2">
        <v>45713</v>
      </c>
      <c r="B18" s="3" t="s">
        <v>19</v>
      </c>
      <c r="C18" s="4">
        <v>3.25</v>
      </c>
      <c r="D18" s="5">
        <v>85</v>
      </c>
      <c r="E18" s="2">
        <v>45807</v>
      </c>
      <c r="F18" s="3" t="s">
        <v>19</v>
      </c>
      <c r="G18" s="4">
        <v>3.25</v>
      </c>
      <c r="H18" s="5">
        <v>78</v>
      </c>
    </row>
    <row r="19" spans="1:8" x14ac:dyDescent="0.3">
      <c r="A19" s="6">
        <v>45716</v>
      </c>
      <c r="B19" s="7" t="s">
        <v>20</v>
      </c>
      <c r="C19" s="8">
        <v>3.75</v>
      </c>
      <c r="D19" s="9">
        <v>117</v>
      </c>
      <c r="E19" s="6">
        <v>45810</v>
      </c>
      <c r="F19" s="7" t="s">
        <v>20</v>
      </c>
      <c r="G19" s="8">
        <v>3.75</v>
      </c>
      <c r="H19" s="9">
        <v>108</v>
      </c>
    </row>
    <row r="20" spans="1:8" x14ac:dyDescent="0.3">
      <c r="A20" s="2">
        <v>45720</v>
      </c>
      <c r="B20" s="3" t="s">
        <v>21</v>
      </c>
      <c r="C20" s="4">
        <v>3</v>
      </c>
      <c r="D20" s="5">
        <v>107</v>
      </c>
      <c r="E20" s="2">
        <v>45813</v>
      </c>
      <c r="F20" s="3" t="s">
        <v>21</v>
      </c>
      <c r="G20" s="4">
        <v>3</v>
      </c>
      <c r="H20" s="5">
        <v>98</v>
      </c>
    </row>
    <row r="21" spans="1:8" x14ac:dyDescent="0.3">
      <c r="A21" s="6">
        <v>45724</v>
      </c>
      <c r="B21" s="7" t="s">
        <v>22</v>
      </c>
      <c r="C21" s="8">
        <v>3.25</v>
      </c>
      <c r="D21" s="9">
        <v>82</v>
      </c>
      <c r="E21" s="6">
        <v>45818</v>
      </c>
      <c r="F21" s="7" t="s">
        <v>22</v>
      </c>
      <c r="G21" s="8">
        <v>3.25</v>
      </c>
      <c r="H21" s="9">
        <v>75</v>
      </c>
    </row>
    <row r="22" spans="1:8" x14ac:dyDescent="0.3">
      <c r="A22" s="2">
        <v>45727</v>
      </c>
      <c r="B22" s="3" t="s">
        <v>23</v>
      </c>
      <c r="C22" s="4">
        <v>4.95</v>
      </c>
      <c r="D22" s="5">
        <v>81</v>
      </c>
      <c r="E22" s="2">
        <v>45821</v>
      </c>
      <c r="F22" s="3" t="s">
        <v>23</v>
      </c>
      <c r="G22" s="4">
        <v>4.95</v>
      </c>
      <c r="H22" s="5">
        <v>75</v>
      </c>
    </row>
    <row r="23" spans="1:8" x14ac:dyDescent="0.3">
      <c r="A23" s="6">
        <v>45730</v>
      </c>
      <c r="B23" s="7" t="s">
        <v>24</v>
      </c>
      <c r="C23" s="8">
        <v>6.5</v>
      </c>
      <c r="D23" s="9">
        <v>85</v>
      </c>
      <c r="E23" s="6">
        <v>45825</v>
      </c>
      <c r="F23" s="7" t="s">
        <v>24</v>
      </c>
      <c r="G23" s="8">
        <v>6.5</v>
      </c>
      <c r="H23" s="9">
        <v>78</v>
      </c>
    </row>
    <row r="26" spans="1:8" ht="14.4" customHeight="1" x14ac:dyDescent="0.3">
      <c r="A26" s="12" t="s">
        <v>25</v>
      </c>
      <c r="B26" s="13"/>
      <c r="C26" s="13"/>
      <c r="D26" s="13"/>
      <c r="E26" s="13"/>
      <c r="F26" s="13"/>
      <c r="G26" s="13"/>
      <c r="H26" s="13"/>
    </row>
    <row r="27" spans="1:8" x14ac:dyDescent="0.3">
      <c r="A27" s="19" t="s">
        <v>26</v>
      </c>
      <c r="B27" s="19"/>
      <c r="C27" s="19"/>
      <c r="D27" s="17" t="s">
        <v>27</v>
      </c>
      <c r="E27" s="23"/>
      <c r="F27" s="23"/>
      <c r="G27" s="23"/>
      <c r="H27" s="17" t="s">
        <v>28</v>
      </c>
    </row>
    <row r="28" spans="1:8" x14ac:dyDescent="0.3">
      <c r="A28" s="20" t="s">
        <v>29</v>
      </c>
      <c r="B28" s="21"/>
      <c r="C28" s="22"/>
      <c r="D28" s="27">
        <f>SUM(D4:D23)</f>
        <v>2500</v>
      </c>
      <c r="E28" s="28"/>
      <c r="F28" s="29"/>
      <c r="G28" s="30"/>
      <c r="H28" s="27">
        <f>SUM(H4:H23)</f>
        <v>2300</v>
      </c>
    </row>
    <row r="29" spans="1:8" x14ac:dyDescent="0.3">
      <c r="A29" s="20" t="s">
        <v>30</v>
      </c>
      <c r="B29" s="21"/>
      <c r="C29" s="22"/>
      <c r="D29" s="18">
        <f>SUMPRODUCT(C4:C23,D4:D23)</f>
        <v>9381.9500000000007</v>
      </c>
      <c r="E29" s="24"/>
      <c r="F29" s="25"/>
      <c r="G29" s="26"/>
      <c r="H29" s="18">
        <f>SUMPRODUCT(G4:G23,H4:H23)</f>
        <v>8633.25</v>
      </c>
    </row>
    <row r="30" spans="1:8" x14ac:dyDescent="0.3">
      <c r="A30" s="10" t="s">
        <v>31</v>
      </c>
      <c r="B30" s="11"/>
      <c r="C30" s="11"/>
      <c r="E30" s="11"/>
      <c r="F30" s="11"/>
      <c r="G30" s="11"/>
      <c r="H30" s="31">
        <f>(H28/D28)-1</f>
        <v>-7.999999999999996E-2</v>
      </c>
    </row>
    <row r="32" spans="1:8" x14ac:dyDescent="0.3">
      <c r="A32" s="16"/>
      <c r="B32" s="13"/>
      <c r="C32" s="13"/>
      <c r="D32" s="13"/>
      <c r="E32" s="13"/>
      <c r="F32" s="13"/>
      <c r="G32" s="13"/>
      <c r="H32" s="13"/>
    </row>
  </sheetData>
  <mergeCells count="9">
    <mergeCell ref="A26:H26"/>
    <mergeCell ref="A2:D2"/>
    <mergeCell ref="A1:H1"/>
    <mergeCell ref="A32:H32"/>
    <mergeCell ref="E2:H2"/>
    <mergeCell ref="A28:C28"/>
    <mergeCell ref="A29:C29"/>
    <mergeCell ref="E28:G28"/>
    <mergeCell ref="E29:G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Sales</vt:lpstr>
      <vt:lpstr>Sales!Print_Titles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Nuzair Family</cp:lastModifiedBy>
  <dcterms:modified xsi:type="dcterms:W3CDTF">2026-01-11T17:12:32Z</dcterms:modified>
</cp:coreProperties>
</file>