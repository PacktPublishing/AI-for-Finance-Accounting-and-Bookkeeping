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C202CE8-A9E0-45DC-8375-957B708863A1}" xr6:coauthVersionLast="47" xr6:coauthVersionMax="47" xr10:uidLastSave="{00000000-0000-0000-0000-000000000000}"/>
  <bookViews>
    <workbookView xWindow="1068" yWindow="0" windowWidth="22032" windowHeight="13020" xr2:uid="{00000000-000D-0000-FFFF-FFFF00000000}"/>
  </bookViews>
  <sheets>
    <sheet name="Budget_Estim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</calcChain>
</file>

<file path=xl/sharedStrings.xml><?xml version="1.0" encoding="utf-8"?>
<sst xmlns="http://schemas.openxmlformats.org/spreadsheetml/2006/main" count="226" uniqueCount="35">
  <si>
    <t>Store ID</t>
  </si>
  <si>
    <t>Store City</t>
  </si>
  <si>
    <t>Item</t>
  </si>
  <si>
    <t>Category</t>
  </si>
  <si>
    <t>Budget Quantity</t>
  </si>
  <si>
    <t>Budget Price per Unit</t>
  </si>
  <si>
    <t>Budget Total</t>
  </si>
  <si>
    <t>Month</t>
  </si>
  <si>
    <t>Supplier</t>
  </si>
  <si>
    <t>NY-01</t>
  </si>
  <si>
    <t>New York</t>
  </si>
  <si>
    <t>Bagel</t>
  </si>
  <si>
    <t>Bakery</t>
  </si>
  <si>
    <t>Jan</t>
  </si>
  <si>
    <t>Fresh Beans Co</t>
  </si>
  <si>
    <t>CH-01</t>
  </si>
  <si>
    <t>Chicago</t>
  </si>
  <si>
    <t>Latte</t>
  </si>
  <si>
    <t>Beverage</t>
  </si>
  <si>
    <t>May</t>
  </si>
  <si>
    <t>SF-01</t>
  </si>
  <si>
    <t>San Francisco</t>
  </si>
  <si>
    <t>Brownie</t>
  </si>
  <si>
    <t>Feb</t>
  </si>
  <si>
    <t>Prime Foods</t>
  </si>
  <si>
    <t>Cold Brew</t>
  </si>
  <si>
    <t>Mar</t>
  </si>
  <si>
    <t>Daily Dairy</t>
  </si>
  <si>
    <t>Muffin</t>
  </si>
  <si>
    <t>Urban Bakery</t>
  </si>
  <si>
    <t>Croissant</t>
  </si>
  <si>
    <t>Jun</t>
  </si>
  <si>
    <t>Espresso</t>
  </si>
  <si>
    <t>Apr</t>
  </si>
  <si>
    <t>Budget Total in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</si>
</sst>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0" xfId="0" applyAlignment="1">
      <alignment horizontal="right"/>
    </xf>
    <xf numFmtId="44" fontId="0" fillId="0" borderId="0" xfId="0" applyNumberFormat="1" applyAlignment="1">
      <alignment horizontal="right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E1" workbookViewId="0">
      <selection activeCell="K19" sqref="K19"/>
    </sheetView>
  </sheetViews>
  <sheetFormatPr defaultRowHeight="14.4" x14ac:dyDescent="0.3"/>
  <cols>
    <col min="1" max="4" width="18" customWidth="1"/>
    <col min="5" max="5" width="14.44140625" customWidth="1"/>
    <col min="6" max="6" width="18" customWidth="1"/>
    <col min="7" max="7" width="18" style="2" customWidth="1"/>
    <col min="8" max="9" width="18" customWidth="1"/>
    <col min="11" max="11" width="21.886718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2" x14ac:dyDescent="0.3">
      <c r="A2" t="s">
        <v>9</v>
      </c>
      <c r="B2" t="s">
        <v>10</v>
      </c>
      <c r="C2" t="s">
        <v>11</v>
      </c>
      <c r="D2" t="s">
        <v>12</v>
      </c>
      <c r="E2">
        <v>255</v>
      </c>
      <c r="F2" s="1">
        <v>4.93</v>
      </c>
      <c r="G2" s="3">
        <f>F2*E2</f>
        <v>1257.1499999999999</v>
      </c>
      <c r="H2" t="s">
        <v>13</v>
      </c>
      <c r="I2" t="s">
        <v>14</v>
      </c>
    </row>
    <row r="3" spans="1:12" x14ac:dyDescent="0.3">
      <c r="A3" t="s">
        <v>15</v>
      </c>
      <c r="B3" t="s">
        <v>16</v>
      </c>
      <c r="C3" t="s">
        <v>17</v>
      </c>
      <c r="D3" t="s">
        <v>18</v>
      </c>
      <c r="E3">
        <v>119</v>
      </c>
      <c r="F3" s="1">
        <v>5.86</v>
      </c>
      <c r="G3" s="3">
        <f t="shared" ref="G3:G37" si="0">F3*E3</f>
        <v>697.34</v>
      </c>
      <c r="H3" t="s">
        <v>19</v>
      </c>
      <c r="I3" t="s">
        <v>14</v>
      </c>
    </row>
    <row r="4" spans="1:12" x14ac:dyDescent="0.3">
      <c r="A4" t="s">
        <v>20</v>
      </c>
      <c r="B4" t="s">
        <v>21</v>
      </c>
      <c r="C4" t="s">
        <v>22</v>
      </c>
      <c r="D4" t="s">
        <v>12</v>
      </c>
      <c r="E4">
        <v>176</v>
      </c>
      <c r="F4" s="1">
        <v>4.8499999999999996</v>
      </c>
      <c r="G4" s="3">
        <f t="shared" si="0"/>
        <v>853.59999999999991</v>
      </c>
      <c r="H4" t="s">
        <v>19</v>
      </c>
      <c r="I4" t="s">
        <v>14</v>
      </c>
    </row>
    <row r="5" spans="1:12" x14ac:dyDescent="0.3">
      <c r="A5" t="s">
        <v>9</v>
      </c>
      <c r="B5" t="s">
        <v>10</v>
      </c>
      <c r="C5" t="s">
        <v>22</v>
      </c>
      <c r="D5" t="s">
        <v>12</v>
      </c>
      <c r="E5">
        <v>260</v>
      </c>
      <c r="F5" s="1">
        <v>4.2</v>
      </c>
      <c r="G5" s="3">
        <f t="shared" si="0"/>
        <v>1092</v>
      </c>
      <c r="H5" t="s">
        <v>23</v>
      </c>
      <c r="I5" t="s">
        <v>24</v>
      </c>
    </row>
    <row r="6" spans="1:12" x14ac:dyDescent="0.3">
      <c r="A6" t="s">
        <v>20</v>
      </c>
      <c r="B6" t="s">
        <v>21</v>
      </c>
      <c r="C6" t="s">
        <v>17</v>
      </c>
      <c r="D6" t="s">
        <v>18</v>
      </c>
      <c r="E6">
        <v>257</v>
      </c>
      <c r="F6" s="1">
        <v>3.61</v>
      </c>
      <c r="G6" s="3">
        <f t="shared" si="0"/>
        <v>927.77</v>
      </c>
      <c r="H6" t="s">
        <v>23</v>
      </c>
      <c r="I6" t="s">
        <v>24</v>
      </c>
      <c r="K6" s="5" t="s">
        <v>34</v>
      </c>
      <c r="L6" s="6">
        <f>SUMIFS(G:G, C:C, "Brownie", B:B, "New York")</f>
        <v>1092</v>
      </c>
    </row>
    <row r="7" spans="1:12" x14ac:dyDescent="0.3">
      <c r="A7" t="s">
        <v>20</v>
      </c>
      <c r="B7" t="s">
        <v>21</v>
      </c>
      <c r="C7" t="s">
        <v>11</v>
      </c>
      <c r="D7" t="s">
        <v>12</v>
      </c>
      <c r="E7">
        <v>277</v>
      </c>
      <c r="F7" s="1">
        <v>5.16</v>
      </c>
      <c r="G7" s="3">
        <f t="shared" si="0"/>
        <v>1429.32</v>
      </c>
      <c r="H7" t="s">
        <v>23</v>
      </c>
      <c r="I7" t="s">
        <v>24</v>
      </c>
    </row>
    <row r="8" spans="1:12" x14ac:dyDescent="0.3">
      <c r="A8" t="s">
        <v>9</v>
      </c>
      <c r="B8" t="s">
        <v>10</v>
      </c>
      <c r="C8" t="s">
        <v>25</v>
      </c>
      <c r="D8" t="s">
        <v>18</v>
      </c>
      <c r="E8">
        <v>189</v>
      </c>
      <c r="F8" s="1">
        <v>4.76</v>
      </c>
      <c r="G8" s="3">
        <f t="shared" si="0"/>
        <v>899.64</v>
      </c>
      <c r="H8" t="s">
        <v>26</v>
      </c>
      <c r="I8" t="s">
        <v>24</v>
      </c>
    </row>
    <row r="9" spans="1:12" x14ac:dyDescent="0.3">
      <c r="A9" t="s">
        <v>15</v>
      </c>
      <c r="B9" t="s">
        <v>16</v>
      </c>
      <c r="C9" t="s">
        <v>11</v>
      </c>
      <c r="D9" t="s">
        <v>12</v>
      </c>
      <c r="E9">
        <v>298</v>
      </c>
      <c r="F9" s="1">
        <v>3.16</v>
      </c>
      <c r="G9" s="3">
        <f t="shared" si="0"/>
        <v>941.68000000000006</v>
      </c>
      <c r="H9" t="s">
        <v>19</v>
      </c>
      <c r="I9" t="s">
        <v>24</v>
      </c>
    </row>
    <row r="10" spans="1:12" x14ac:dyDescent="0.3">
      <c r="A10" t="s">
        <v>20</v>
      </c>
      <c r="B10" t="s">
        <v>21</v>
      </c>
      <c r="C10" t="s">
        <v>25</v>
      </c>
      <c r="D10" t="s">
        <v>18</v>
      </c>
      <c r="E10">
        <v>257</v>
      </c>
      <c r="F10" s="1">
        <v>6.09</v>
      </c>
      <c r="G10" s="3">
        <f t="shared" si="0"/>
        <v>1565.1299999999999</v>
      </c>
      <c r="H10" t="s">
        <v>19</v>
      </c>
      <c r="I10" t="s">
        <v>27</v>
      </c>
    </row>
    <row r="11" spans="1:12" x14ac:dyDescent="0.3">
      <c r="A11" t="s">
        <v>9</v>
      </c>
      <c r="B11" t="s">
        <v>10</v>
      </c>
      <c r="C11" t="s">
        <v>28</v>
      </c>
      <c r="D11" t="s">
        <v>12</v>
      </c>
      <c r="E11">
        <v>295</v>
      </c>
      <c r="F11" s="1">
        <v>2.63</v>
      </c>
      <c r="G11" s="3">
        <f t="shared" si="0"/>
        <v>775.85</v>
      </c>
      <c r="H11" t="s">
        <v>19</v>
      </c>
      <c r="I11" t="s">
        <v>29</v>
      </c>
    </row>
    <row r="12" spans="1:12" x14ac:dyDescent="0.3">
      <c r="A12" t="s">
        <v>20</v>
      </c>
      <c r="B12" t="s">
        <v>21</v>
      </c>
      <c r="C12" t="s">
        <v>30</v>
      </c>
      <c r="D12" t="s">
        <v>12</v>
      </c>
      <c r="E12">
        <v>95</v>
      </c>
      <c r="F12" s="1">
        <v>2.78</v>
      </c>
      <c r="G12" s="3">
        <f t="shared" si="0"/>
        <v>264.09999999999997</v>
      </c>
      <c r="H12" t="s">
        <v>31</v>
      </c>
      <c r="I12" t="s">
        <v>14</v>
      </c>
    </row>
    <row r="13" spans="1:12" x14ac:dyDescent="0.3">
      <c r="A13" t="s">
        <v>9</v>
      </c>
      <c r="B13" t="s">
        <v>10</v>
      </c>
      <c r="C13" t="s">
        <v>32</v>
      </c>
      <c r="D13" t="s">
        <v>18</v>
      </c>
      <c r="E13">
        <v>87</v>
      </c>
      <c r="F13" s="1">
        <v>6.12</v>
      </c>
      <c r="G13" s="3">
        <f t="shared" si="0"/>
        <v>532.44000000000005</v>
      </c>
      <c r="H13" t="s">
        <v>33</v>
      </c>
      <c r="I13" t="s">
        <v>27</v>
      </c>
    </row>
    <row r="14" spans="1:12" x14ac:dyDescent="0.3">
      <c r="A14" t="s">
        <v>15</v>
      </c>
      <c r="B14" t="s">
        <v>16</v>
      </c>
      <c r="C14" t="s">
        <v>28</v>
      </c>
      <c r="D14" t="s">
        <v>12</v>
      </c>
      <c r="E14">
        <v>270</v>
      </c>
      <c r="F14" s="1">
        <v>5.62</v>
      </c>
      <c r="G14" s="3">
        <f t="shared" si="0"/>
        <v>1517.4</v>
      </c>
      <c r="H14" t="s">
        <v>23</v>
      </c>
      <c r="I14" t="s">
        <v>24</v>
      </c>
    </row>
    <row r="15" spans="1:12" x14ac:dyDescent="0.3">
      <c r="A15" t="s">
        <v>20</v>
      </c>
      <c r="B15" t="s">
        <v>21</v>
      </c>
      <c r="C15" t="s">
        <v>32</v>
      </c>
      <c r="D15" t="s">
        <v>18</v>
      </c>
      <c r="E15">
        <v>241</v>
      </c>
      <c r="F15" s="1">
        <v>5.46</v>
      </c>
      <c r="G15" s="3">
        <f t="shared" si="0"/>
        <v>1315.86</v>
      </c>
      <c r="H15" t="s">
        <v>19</v>
      </c>
      <c r="I15" t="s">
        <v>27</v>
      </c>
    </row>
    <row r="16" spans="1:12" x14ac:dyDescent="0.3">
      <c r="A16" t="s">
        <v>20</v>
      </c>
      <c r="B16" t="s">
        <v>21</v>
      </c>
      <c r="C16" t="s">
        <v>32</v>
      </c>
      <c r="D16" t="s">
        <v>18</v>
      </c>
      <c r="E16">
        <v>193</v>
      </c>
      <c r="F16" s="1">
        <v>5.59</v>
      </c>
      <c r="G16" s="3">
        <f t="shared" si="0"/>
        <v>1078.8699999999999</v>
      </c>
      <c r="H16" t="s">
        <v>13</v>
      </c>
      <c r="I16" t="s">
        <v>24</v>
      </c>
    </row>
    <row r="17" spans="1:9" x14ac:dyDescent="0.3">
      <c r="A17" t="s">
        <v>20</v>
      </c>
      <c r="B17" t="s">
        <v>21</v>
      </c>
      <c r="C17" t="s">
        <v>32</v>
      </c>
      <c r="D17" t="s">
        <v>18</v>
      </c>
      <c r="E17">
        <v>103</v>
      </c>
      <c r="F17" s="1">
        <v>4.13</v>
      </c>
      <c r="G17" s="3">
        <f t="shared" si="0"/>
        <v>425.39</v>
      </c>
      <c r="H17" t="s">
        <v>13</v>
      </c>
      <c r="I17" t="s">
        <v>24</v>
      </c>
    </row>
    <row r="18" spans="1:9" x14ac:dyDescent="0.3">
      <c r="A18" t="s">
        <v>9</v>
      </c>
      <c r="B18" t="s">
        <v>10</v>
      </c>
      <c r="C18" t="s">
        <v>25</v>
      </c>
      <c r="D18" t="s">
        <v>18</v>
      </c>
      <c r="E18">
        <v>229</v>
      </c>
      <c r="F18" s="1">
        <v>5.54</v>
      </c>
      <c r="G18" s="3">
        <f t="shared" si="0"/>
        <v>1268.6600000000001</v>
      </c>
      <c r="H18" t="s">
        <v>19</v>
      </c>
      <c r="I18" t="s">
        <v>24</v>
      </c>
    </row>
    <row r="19" spans="1:9" x14ac:dyDescent="0.3">
      <c r="A19" t="s">
        <v>15</v>
      </c>
      <c r="B19" t="s">
        <v>16</v>
      </c>
      <c r="C19" t="s">
        <v>32</v>
      </c>
      <c r="D19" t="s">
        <v>18</v>
      </c>
      <c r="E19">
        <v>107</v>
      </c>
      <c r="F19" s="1">
        <v>3.72</v>
      </c>
      <c r="G19" s="3">
        <f t="shared" si="0"/>
        <v>398.04</v>
      </c>
      <c r="H19" t="s">
        <v>33</v>
      </c>
      <c r="I19" t="s">
        <v>14</v>
      </c>
    </row>
    <row r="20" spans="1:9" x14ac:dyDescent="0.3">
      <c r="A20" t="s">
        <v>9</v>
      </c>
      <c r="B20" t="s">
        <v>10</v>
      </c>
      <c r="C20" t="s">
        <v>11</v>
      </c>
      <c r="D20" t="s">
        <v>12</v>
      </c>
      <c r="E20">
        <v>292</v>
      </c>
      <c r="F20" s="1">
        <v>3.53</v>
      </c>
      <c r="G20" s="3">
        <f t="shared" si="0"/>
        <v>1030.76</v>
      </c>
      <c r="H20" t="s">
        <v>33</v>
      </c>
      <c r="I20" t="s">
        <v>29</v>
      </c>
    </row>
    <row r="21" spans="1:9" x14ac:dyDescent="0.3">
      <c r="A21" t="s">
        <v>9</v>
      </c>
      <c r="B21" t="s">
        <v>10</v>
      </c>
      <c r="C21" t="s">
        <v>25</v>
      </c>
      <c r="D21" t="s">
        <v>18</v>
      </c>
      <c r="E21">
        <v>119</v>
      </c>
      <c r="F21" s="1">
        <v>3.23</v>
      </c>
      <c r="G21" s="3">
        <f t="shared" si="0"/>
        <v>384.37</v>
      </c>
      <c r="H21" t="s">
        <v>13</v>
      </c>
      <c r="I21" t="s">
        <v>24</v>
      </c>
    </row>
    <row r="22" spans="1:9" x14ac:dyDescent="0.3">
      <c r="A22" t="s">
        <v>15</v>
      </c>
      <c r="B22" t="s">
        <v>16</v>
      </c>
      <c r="C22" t="s">
        <v>32</v>
      </c>
      <c r="D22" t="s">
        <v>18</v>
      </c>
      <c r="E22">
        <v>127</v>
      </c>
      <c r="F22" s="1">
        <v>6.09</v>
      </c>
      <c r="G22" s="3">
        <f t="shared" si="0"/>
        <v>773.43</v>
      </c>
      <c r="H22" t="s">
        <v>31</v>
      </c>
      <c r="I22" t="s">
        <v>29</v>
      </c>
    </row>
    <row r="23" spans="1:9" x14ac:dyDescent="0.3">
      <c r="A23" t="s">
        <v>20</v>
      </c>
      <c r="B23" t="s">
        <v>21</v>
      </c>
      <c r="C23" t="s">
        <v>30</v>
      </c>
      <c r="D23" t="s">
        <v>12</v>
      </c>
      <c r="E23">
        <v>106</v>
      </c>
      <c r="F23" s="1">
        <v>2.92</v>
      </c>
      <c r="G23" s="3">
        <f t="shared" si="0"/>
        <v>309.52</v>
      </c>
      <c r="H23" t="s">
        <v>19</v>
      </c>
      <c r="I23" t="s">
        <v>14</v>
      </c>
    </row>
    <row r="24" spans="1:9" x14ac:dyDescent="0.3">
      <c r="A24" t="s">
        <v>15</v>
      </c>
      <c r="B24" t="s">
        <v>16</v>
      </c>
      <c r="C24" t="s">
        <v>17</v>
      </c>
      <c r="D24" t="s">
        <v>18</v>
      </c>
      <c r="E24">
        <v>166</v>
      </c>
      <c r="F24" s="1">
        <v>3.09</v>
      </c>
      <c r="G24" s="3">
        <f t="shared" si="0"/>
        <v>512.93999999999994</v>
      </c>
      <c r="H24" t="s">
        <v>31</v>
      </c>
      <c r="I24" t="s">
        <v>29</v>
      </c>
    </row>
    <row r="25" spans="1:9" x14ac:dyDescent="0.3">
      <c r="A25" t="s">
        <v>20</v>
      </c>
      <c r="B25" t="s">
        <v>21</v>
      </c>
      <c r="C25" t="s">
        <v>30</v>
      </c>
      <c r="D25" t="s">
        <v>12</v>
      </c>
      <c r="E25">
        <v>223</v>
      </c>
      <c r="F25" s="1">
        <v>4.63</v>
      </c>
      <c r="G25" s="3">
        <f t="shared" si="0"/>
        <v>1032.49</v>
      </c>
      <c r="H25" t="s">
        <v>23</v>
      </c>
      <c r="I25" t="s">
        <v>14</v>
      </c>
    </row>
    <row r="26" spans="1:9" x14ac:dyDescent="0.3">
      <c r="A26" t="s">
        <v>15</v>
      </c>
      <c r="B26" t="s">
        <v>16</v>
      </c>
      <c r="C26" t="s">
        <v>28</v>
      </c>
      <c r="D26" t="s">
        <v>12</v>
      </c>
      <c r="E26">
        <v>188</v>
      </c>
      <c r="F26" s="1">
        <v>3</v>
      </c>
      <c r="G26" s="3">
        <f t="shared" si="0"/>
        <v>564</v>
      </c>
      <c r="H26" t="s">
        <v>33</v>
      </c>
      <c r="I26" t="s">
        <v>24</v>
      </c>
    </row>
    <row r="27" spans="1:9" x14ac:dyDescent="0.3">
      <c r="A27" t="s">
        <v>9</v>
      </c>
      <c r="B27" t="s">
        <v>10</v>
      </c>
      <c r="C27" t="s">
        <v>17</v>
      </c>
      <c r="D27" t="s">
        <v>18</v>
      </c>
      <c r="E27">
        <v>151</v>
      </c>
      <c r="F27" s="1">
        <v>5.53</v>
      </c>
      <c r="G27" s="3">
        <f t="shared" si="0"/>
        <v>835.03000000000009</v>
      </c>
      <c r="H27" t="s">
        <v>33</v>
      </c>
      <c r="I27" t="s">
        <v>14</v>
      </c>
    </row>
    <row r="28" spans="1:9" x14ac:dyDescent="0.3">
      <c r="A28" t="s">
        <v>20</v>
      </c>
      <c r="B28" t="s">
        <v>21</v>
      </c>
      <c r="C28" t="s">
        <v>28</v>
      </c>
      <c r="D28" t="s">
        <v>12</v>
      </c>
      <c r="E28">
        <v>114</v>
      </c>
      <c r="F28" s="1">
        <v>3.06</v>
      </c>
      <c r="G28" s="3">
        <f t="shared" si="0"/>
        <v>348.84000000000003</v>
      </c>
      <c r="H28" t="s">
        <v>23</v>
      </c>
      <c r="I28" t="s">
        <v>27</v>
      </c>
    </row>
    <row r="29" spans="1:9" x14ac:dyDescent="0.3">
      <c r="A29" t="s">
        <v>9</v>
      </c>
      <c r="B29" t="s">
        <v>10</v>
      </c>
      <c r="C29" t="s">
        <v>11</v>
      </c>
      <c r="D29" t="s">
        <v>12</v>
      </c>
      <c r="E29">
        <v>229</v>
      </c>
      <c r="F29" s="1">
        <v>3.44</v>
      </c>
      <c r="G29" s="3">
        <f t="shared" si="0"/>
        <v>787.76</v>
      </c>
      <c r="H29" t="s">
        <v>26</v>
      </c>
      <c r="I29" t="s">
        <v>27</v>
      </c>
    </row>
    <row r="30" spans="1:9" x14ac:dyDescent="0.3">
      <c r="A30" t="s">
        <v>20</v>
      </c>
      <c r="B30" t="s">
        <v>21</v>
      </c>
      <c r="C30" t="s">
        <v>17</v>
      </c>
      <c r="D30" t="s">
        <v>18</v>
      </c>
      <c r="E30">
        <v>183</v>
      </c>
      <c r="F30" s="1">
        <v>2.5499999999999998</v>
      </c>
      <c r="G30" s="3">
        <f t="shared" si="0"/>
        <v>466.65</v>
      </c>
      <c r="H30" t="s">
        <v>23</v>
      </c>
      <c r="I30" t="s">
        <v>27</v>
      </c>
    </row>
    <row r="31" spans="1:9" x14ac:dyDescent="0.3">
      <c r="A31" t="s">
        <v>20</v>
      </c>
      <c r="B31" t="s">
        <v>21</v>
      </c>
      <c r="C31" t="s">
        <v>11</v>
      </c>
      <c r="D31" t="s">
        <v>12</v>
      </c>
      <c r="E31">
        <v>296</v>
      </c>
      <c r="F31" s="1">
        <v>4.43</v>
      </c>
      <c r="G31" s="3">
        <f t="shared" si="0"/>
        <v>1311.28</v>
      </c>
      <c r="H31" t="s">
        <v>19</v>
      </c>
      <c r="I31" t="s">
        <v>29</v>
      </c>
    </row>
    <row r="32" spans="1:9" x14ac:dyDescent="0.3">
      <c r="A32" t="s">
        <v>15</v>
      </c>
      <c r="B32" t="s">
        <v>16</v>
      </c>
      <c r="C32" t="s">
        <v>25</v>
      </c>
      <c r="D32" t="s">
        <v>18</v>
      </c>
      <c r="E32">
        <v>247</v>
      </c>
      <c r="F32" s="1">
        <v>6.47</v>
      </c>
      <c r="G32" s="3">
        <f t="shared" si="0"/>
        <v>1598.09</v>
      </c>
      <c r="H32" t="s">
        <v>26</v>
      </c>
      <c r="I32" t="s">
        <v>29</v>
      </c>
    </row>
    <row r="33" spans="1:9" x14ac:dyDescent="0.3">
      <c r="A33" t="s">
        <v>9</v>
      </c>
      <c r="B33" t="s">
        <v>10</v>
      </c>
      <c r="C33" t="s">
        <v>32</v>
      </c>
      <c r="D33" t="s">
        <v>18</v>
      </c>
      <c r="E33">
        <v>190</v>
      </c>
      <c r="F33" s="1">
        <v>4.01</v>
      </c>
      <c r="G33" s="3">
        <f t="shared" si="0"/>
        <v>761.9</v>
      </c>
      <c r="H33" t="s">
        <v>31</v>
      </c>
      <c r="I33" t="s">
        <v>29</v>
      </c>
    </row>
    <row r="34" spans="1:9" x14ac:dyDescent="0.3">
      <c r="A34" t="s">
        <v>20</v>
      </c>
      <c r="B34" t="s">
        <v>21</v>
      </c>
      <c r="C34" t="s">
        <v>28</v>
      </c>
      <c r="D34" t="s">
        <v>12</v>
      </c>
      <c r="E34">
        <v>192</v>
      </c>
      <c r="F34" s="1">
        <v>5.59</v>
      </c>
      <c r="G34" s="3">
        <f t="shared" si="0"/>
        <v>1073.28</v>
      </c>
      <c r="H34" t="s">
        <v>13</v>
      </c>
      <c r="I34" t="s">
        <v>27</v>
      </c>
    </row>
    <row r="35" spans="1:9" x14ac:dyDescent="0.3">
      <c r="A35" t="s">
        <v>20</v>
      </c>
      <c r="B35" t="s">
        <v>21</v>
      </c>
      <c r="C35" t="s">
        <v>11</v>
      </c>
      <c r="D35" t="s">
        <v>12</v>
      </c>
      <c r="E35">
        <v>282</v>
      </c>
      <c r="F35" s="1">
        <v>3.04</v>
      </c>
      <c r="G35" s="3">
        <f t="shared" si="0"/>
        <v>857.28</v>
      </c>
      <c r="H35" t="s">
        <v>19</v>
      </c>
      <c r="I35" t="s">
        <v>24</v>
      </c>
    </row>
    <row r="36" spans="1:9" x14ac:dyDescent="0.3">
      <c r="A36" t="s">
        <v>15</v>
      </c>
      <c r="B36" t="s">
        <v>16</v>
      </c>
      <c r="C36" t="s">
        <v>25</v>
      </c>
      <c r="D36" t="s">
        <v>18</v>
      </c>
      <c r="E36">
        <v>101</v>
      </c>
      <c r="F36" s="1">
        <v>5.77</v>
      </c>
      <c r="G36" s="3">
        <f t="shared" si="0"/>
        <v>582.77</v>
      </c>
      <c r="H36" t="s">
        <v>23</v>
      </c>
      <c r="I36" t="s">
        <v>29</v>
      </c>
    </row>
    <row r="37" spans="1:9" x14ac:dyDescent="0.3">
      <c r="A37" t="s">
        <v>9</v>
      </c>
      <c r="B37" t="s">
        <v>10</v>
      </c>
      <c r="C37" t="s">
        <v>32</v>
      </c>
      <c r="D37" t="s">
        <v>18</v>
      </c>
      <c r="E37">
        <v>89</v>
      </c>
      <c r="F37" s="1">
        <v>2.52</v>
      </c>
      <c r="G37" s="3">
        <f t="shared" si="0"/>
        <v>224.28</v>
      </c>
      <c r="H37" t="s">
        <v>31</v>
      </c>
      <c r="I37" t="s">
        <v>24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Younis</cp:lastModifiedBy>
  <dcterms:created xsi:type="dcterms:W3CDTF">2026-01-19T11:51:09Z</dcterms:created>
  <dcterms:modified xsi:type="dcterms:W3CDTF">2026-01-19T12:22:53Z</dcterms:modified>
</cp:coreProperties>
</file>