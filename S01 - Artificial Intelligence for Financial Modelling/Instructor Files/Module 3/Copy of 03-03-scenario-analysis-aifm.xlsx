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Axial Consulitng\AI in Financial Modelling Jan 2026\Work files\Module 3 work files\"/>
    </mc:Choice>
  </mc:AlternateContent>
  <xr:revisionPtr revIDLastSave="0" documentId="13_ncr:1_{4DAA9B9D-8D2A-43F5-8B02-497DF12E18D5}" xr6:coauthVersionLast="47" xr6:coauthVersionMax="47" xr10:uidLastSave="{00000000-0000-0000-0000-000000000000}"/>
  <bookViews>
    <workbookView xWindow="1092" yWindow="96" windowWidth="22056" windowHeight="12960" activeTab="2" xr2:uid="{B656E32E-FB0F-4166-A033-5CF4B4680E17}"/>
  </bookViews>
  <sheets>
    <sheet name="Drivers" sheetId="2" r:id="rId1"/>
    <sheet name="Dashboard" sheetId="15" r:id="rId2"/>
    <sheet name="Dashboard2" sheetId="16" r:id="rId3"/>
  </sheets>
  <definedNames>
    <definedName name="Barista_hourly_rate">Drivers!$B$8</definedName>
    <definedName name="Base">Drivers!$B$14:$B$16</definedName>
    <definedName name="Base_case_cappuccino_daily_volume">Drivers!$B$14</definedName>
    <definedName name="Base_case_espresso_daily_volume">Drivers!$B$15</definedName>
    <definedName name="Base_case_mocha_daily_volume">Drivers!$B$16</definedName>
    <definedName name="Cappuccino">Dashboard2!$B$5</definedName>
    <definedName name="Cappuccino_daily_volume">Drivers!$B$14:$D$14</definedName>
    <definedName name="Cappuccino_price">Drivers!$B$2</definedName>
    <definedName name="Cost_of_regular_paper_cup">Drivers!$B$10</definedName>
    <definedName name="Cost_per_1_kg_Bean_Bag">Drivers!$B$5</definedName>
    <definedName name="Cost_per_1_kg_Sugar_Bag">Drivers!$B$7</definedName>
    <definedName name="Cost_per_1_Litre_milk">Drivers!$B$6</definedName>
    <definedName name="Daily_Volume">Drivers!$B$14:$D$16</definedName>
    <definedName name="Daily_volume_scenario">Dashboard2!$C$2</definedName>
    <definedName name="Downside">Drivers!$B$20:$B$22</definedName>
    <definedName name="Downside_case_cappuccino_daily_volume">Drivers!$B$20</definedName>
    <definedName name="Downside_case_cappucino_daily_volume">Drivers!$B$20</definedName>
    <definedName name="Downside_case_espresso_daily_volume">Drivers!$B$21</definedName>
    <definedName name="Downside_case_mocha_daily_volume">Drivers!$B$22</definedName>
    <definedName name="Espresso">Dashboard2!$B$6</definedName>
    <definedName name="Espresso_daily_volume">Drivers!$B$15:$D$15</definedName>
    <definedName name="Espresso_price">Drivers!$B$3</definedName>
    <definedName name="Expresso_price">Drivers!$B$3</definedName>
    <definedName name="Manager_hourly_rate">Drivers!$B$9</definedName>
    <definedName name="Misc._costs_per_regular_cup">Drivers!$B$11</definedName>
    <definedName name="Mocha">Dashboard2!$B$7</definedName>
    <definedName name="Mocha_daily_volume">Drivers!$B$16:$D$16</definedName>
    <definedName name="Mocha_price">Drivers!$B$4</definedName>
    <definedName name="Price">Drivers!$B$2:$B$11</definedName>
    <definedName name="Prices">Drivers!$B$1</definedName>
    <definedName name="Upside">Drivers!$B$17:$B$19</definedName>
    <definedName name="Upside_case_cappuccino_daily_volume">Drivers!$B$17</definedName>
    <definedName name="Upside_case_espresso_daily_volume">Drivers!$B$18</definedName>
    <definedName name="Upside_case_mocha_daily_volume">Drivers!$B$19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6" l="1" a="1"/>
  <c r="C7" i="16" a="1"/>
  <c r="C5" i="16" a="1"/>
  <c r="C7" i="16" l="1"/>
  <c r="C6" i="16"/>
  <c r="C5" i="16"/>
  <c r="D3" i="15" a="1"/>
  <c r="D3" i="15" s="1"/>
  <c r="B4" i="15" a="1"/>
  <c r="B4" i="15" s="1"/>
  <c r="C4" i="15" a="1"/>
  <c r="C4" i="15" s="1"/>
  <c r="D4" i="15" a="1"/>
  <c r="D4" i="15" s="1"/>
  <c r="B3" i="15"/>
  <c r="C3" i="15"/>
  <c r="B5" i="15"/>
  <c r="C5" i="15"/>
  <c r="D5" i="15"/>
  <c r="D5" i="16" a="1"/>
  <c r="D6" i="16" a="1"/>
  <c r="D7" i="16" a="1"/>
  <c r="D7" i="16" l="1"/>
  <c r="D6" i="16"/>
  <c r="D5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<sst xmlns="http://schemas.openxmlformats.org/spreadsheetml/2006/main" count="49" uniqueCount="45">
  <si>
    <t>Prices</t>
  </si>
  <si>
    <t>Cost per 1 kg Bean Bag</t>
  </si>
  <si>
    <t>Cost per 1 Litre milk</t>
  </si>
  <si>
    <t>Cost per 1 kg Sugar Bag</t>
  </si>
  <si>
    <t>Barista hourly rate</t>
  </si>
  <si>
    <t>Manager hourly rate</t>
  </si>
  <si>
    <t>Cost of regular paper cup</t>
  </si>
  <si>
    <t>Misc. costs per regular cup</t>
  </si>
  <si>
    <t>Daily Volume</t>
  </si>
  <si>
    <t>Tax type</t>
  </si>
  <si>
    <t>Sales Tax</t>
  </si>
  <si>
    <t>Business Tax</t>
  </si>
  <si>
    <t>Production</t>
  </si>
  <si>
    <t>Regular coffee cups made per 1 kg bean bag</t>
  </si>
  <si>
    <t>Regular coffee cups made per 1 kg sugar bag</t>
  </si>
  <si>
    <t>Regular coffee cups made per 1 Litre milk</t>
  </si>
  <si>
    <t>Human resource</t>
  </si>
  <si>
    <t>Number of baristas per outlet</t>
  </si>
  <si>
    <t>Number of managers per outlet</t>
  </si>
  <si>
    <t>Number of outlets</t>
  </si>
  <si>
    <t>Number of work hours per day</t>
  </si>
  <si>
    <t>Upside</t>
  </si>
  <si>
    <t>Cappuccino</t>
  </si>
  <si>
    <t>Espresso</t>
  </si>
  <si>
    <t>Mocha</t>
  </si>
  <si>
    <t>Cappuccino price</t>
  </si>
  <si>
    <t>Mocha price</t>
  </si>
  <si>
    <t>Base case cappuccino daily volume</t>
  </si>
  <si>
    <t>Base case espresso daily volume</t>
  </si>
  <si>
    <t>Base case mocha daily volume</t>
  </si>
  <si>
    <t>Upside case cappuccino daily volume</t>
  </si>
  <si>
    <t>Upside case espresso daily volume</t>
  </si>
  <si>
    <t>Upside case mocha daily volume</t>
  </si>
  <si>
    <t>Downside case espresso daily volume</t>
  </si>
  <si>
    <t>Downside case mocha daily volume</t>
  </si>
  <si>
    <t>Item</t>
  </si>
  <si>
    <t>Base Formula</t>
  </si>
  <si>
    <t>Upside Formula</t>
  </si>
  <si>
    <t>Downside Formula</t>
  </si>
  <si>
    <t>Espresso price</t>
  </si>
  <si>
    <t>Downside case cappuccino daily volume</t>
  </si>
  <si>
    <t>Scenario Analysis: Revenue</t>
  </si>
  <si>
    <t>Daily Volume Scenario</t>
  </si>
  <si>
    <t>Product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</si>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</sst>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44" fontId="0" fillId="0" borderId="0" xfId="1" applyFont="1"/>
    <xf numFmtId="9" fontId="2" fillId="0" borderId="0" xfId="0" applyNumberFormat="1" applyFont="1"/>
    <xf numFmtId="9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145607-FC29-482B-A59B-D6E72D952D7E}" name="Table2" displayName="Table2" ref="A2:D5" totalsRowShown="0">
  <autoFilter ref="A2:D5" xr:uid="{1C145607-FC29-482B-A59B-D6E72D952D7E}"/>
  <tableColumns count="4">
    <tableColumn id="1" xr3:uid="{80C251C3-EEF5-4B75-9437-9F1FAD5B4152}" name="Item"/>
    <tableColumn id="2" xr3:uid="{99E71AC6-F2B2-4FF2-9B2D-0D18B53209EF}" name="Base Formula"/>
    <tableColumn id="3" xr3:uid="{A37DCFF3-1799-4B26-A6A2-3E0A20A11410}" name="Upside Formula"/>
    <tableColumn id="4" xr3:uid="{FED73774-5999-49BF-BDCC-3A650FA1859A}" name="Downside Form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0FE0D35-6CDF-4332-B6C4-3C5824F5E6FD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AE09F-EFA8-496D-8206-49E46816F9B1}">
  <dimension ref="A1:D37"/>
  <sheetViews>
    <sheetView workbookViewId="0">
      <selection activeCell="B2" sqref="B2"/>
    </sheetView>
  </sheetViews>
  <sheetFormatPr defaultRowHeight="14.4" x14ac:dyDescent="0.3"/>
  <cols>
    <col min="1" max="1" width="36.77734375" bestFit="1" customWidth="1"/>
    <col min="2" max="2" width="7.6640625" bestFit="1" customWidth="1"/>
    <col min="3" max="3" width="6.88671875" bestFit="1" customWidth="1"/>
  </cols>
  <sheetData>
    <row r="1" spans="1:4" x14ac:dyDescent="0.3">
      <c r="A1" s="1" t="s">
        <v>0</v>
      </c>
    </row>
    <row r="2" spans="1:4" x14ac:dyDescent="0.3">
      <c r="A2" t="s">
        <v>25</v>
      </c>
      <c r="B2" s="2">
        <v>3.5</v>
      </c>
    </row>
    <row r="3" spans="1:4" x14ac:dyDescent="0.3">
      <c r="A3" t="s">
        <v>39</v>
      </c>
      <c r="B3" s="2">
        <v>3.25</v>
      </c>
    </row>
    <row r="4" spans="1:4" x14ac:dyDescent="0.3">
      <c r="A4" t="s">
        <v>26</v>
      </c>
      <c r="B4" s="2">
        <v>3.45</v>
      </c>
    </row>
    <row r="5" spans="1:4" x14ac:dyDescent="0.3">
      <c r="A5" t="s">
        <v>1</v>
      </c>
      <c r="B5" s="2">
        <v>12</v>
      </c>
    </row>
    <row r="6" spans="1:4" x14ac:dyDescent="0.3">
      <c r="A6" t="s">
        <v>2</v>
      </c>
      <c r="B6" s="2">
        <v>18</v>
      </c>
    </row>
    <row r="7" spans="1:4" x14ac:dyDescent="0.3">
      <c r="A7" t="s">
        <v>3</v>
      </c>
      <c r="B7" s="2">
        <v>19</v>
      </c>
    </row>
    <row r="8" spans="1:4" x14ac:dyDescent="0.3">
      <c r="A8" t="s">
        <v>4</v>
      </c>
      <c r="B8" s="2">
        <v>18</v>
      </c>
    </row>
    <row r="9" spans="1:4" x14ac:dyDescent="0.3">
      <c r="A9" t="s">
        <v>5</v>
      </c>
      <c r="B9" s="2">
        <v>30</v>
      </c>
    </row>
    <row r="10" spans="1:4" x14ac:dyDescent="0.3">
      <c r="A10" t="s">
        <v>6</v>
      </c>
      <c r="B10" s="2">
        <v>0.2</v>
      </c>
    </row>
    <row r="11" spans="1:4" x14ac:dyDescent="0.3">
      <c r="A11" t="s">
        <v>7</v>
      </c>
      <c r="B11" s="2">
        <v>0.8</v>
      </c>
    </row>
    <row r="13" spans="1:4" x14ac:dyDescent="0.3">
      <c r="A13" s="1" t="s">
        <v>8</v>
      </c>
      <c r="B13" s="1"/>
      <c r="C13" s="1"/>
      <c r="D13" s="1"/>
    </row>
    <row r="14" spans="1:4" x14ac:dyDescent="0.3">
      <c r="A14" t="s">
        <v>27</v>
      </c>
      <c r="B14">
        <v>50</v>
      </c>
    </row>
    <row r="15" spans="1:4" x14ac:dyDescent="0.3">
      <c r="A15" t="s">
        <v>28</v>
      </c>
      <c r="B15">
        <v>40</v>
      </c>
    </row>
    <row r="16" spans="1:4" x14ac:dyDescent="0.3">
      <c r="A16" t="s">
        <v>29</v>
      </c>
      <c r="B16">
        <v>45</v>
      </c>
    </row>
    <row r="17" spans="1:2" x14ac:dyDescent="0.3">
      <c r="A17" t="s">
        <v>30</v>
      </c>
      <c r="B17">
        <v>65</v>
      </c>
    </row>
    <row r="18" spans="1:2" x14ac:dyDescent="0.3">
      <c r="A18" t="s">
        <v>31</v>
      </c>
      <c r="B18">
        <v>55</v>
      </c>
    </row>
    <row r="19" spans="1:2" x14ac:dyDescent="0.3">
      <c r="A19" t="s">
        <v>32</v>
      </c>
      <c r="B19">
        <v>62</v>
      </c>
    </row>
    <row r="20" spans="1:2" x14ac:dyDescent="0.3">
      <c r="A20" t="s">
        <v>40</v>
      </c>
      <c r="B20">
        <v>44</v>
      </c>
    </row>
    <row r="21" spans="1:2" x14ac:dyDescent="0.3">
      <c r="A21" t="s">
        <v>33</v>
      </c>
      <c r="B21">
        <v>32</v>
      </c>
    </row>
    <row r="22" spans="1:2" x14ac:dyDescent="0.3">
      <c r="A22" t="s">
        <v>34</v>
      </c>
      <c r="B22">
        <v>38</v>
      </c>
    </row>
    <row r="24" spans="1:2" x14ac:dyDescent="0.3">
      <c r="A24" s="1" t="s">
        <v>9</v>
      </c>
      <c r="B24" s="3"/>
    </row>
    <row r="25" spans="1:2" x14ac:dyDescent="0.3">
      <c r="A25" t="s">
        <v>10</v>
      </c>
      <c r="B25" s="4">
        <v>0.12</v>
      </c>
    </row>
    <row r="26" spans="1:2" x14ac:dyDescent="0.3">
      <c r="A26" t="s">
        <v>11</v>
      </c>
      <c r="B26" s="4">
        <v>0.15</v>
      </c>
    </row>
    <row r="28" spans="1:2" x14ac:dyDescent="0.3">
      <c r="A28" s="1" t="s">
        <v>12</v>
      </c>
    </row>
    <row r="29" spans="1:2" x14ac:dyDescent="0.3">
      <c r="A29" t="s">
        <v>13</v>
      </c>
      <c r="B29">
        <v>40</v>
      </c>
    </row>
    <row r="30" spans="1:2" x14ac:dyDescent="0.3">
      <c r="A30" t="s">
        <v>14</v>
      </c>
      <c r="B30">
        <v>40</v>
      </c>
    </row>
    <row r="31" spans="1:2" x14ac:dyDescent="0.3">
      <c r="A31" t="s">
        <v>15</v>
      </c>
      <c r="B31">
        <v>6</v>
      </c>
    </row>
    <row r="33" spans="1:2" x14ac:dyDescent="0.3">
      <c r="A33" s="1" t="s">
        <v>16</v>
      </c>
    </row>
    <row r="34" spans="1:2" x14ac:dyDescent="0.3">
      <c r="A34" t="s">
        <v>17</v>
      </c>
      <c r="B34">
        <v>2</v>
      </c>
    </row>
    <row r="35" spans="1:2" x14ac:dyDescent="0.3">
      <c r="A35" t="s">
        <v>18</v>
      </c>
      <c r="B35">
        <v>1</v>
      </c>
    </row>
    <row r="36" spans="1:2" x14ac:dyDescent="0.3">
      <c r="A36" t="s">
        <v>19</v>
      </c>
      <c r="B36">
        <v>15</v>
      </c>
    </row>
    <row r="37" spans="1:2" x14ac:dyDescent="0.3">
      <c r="A37" t="s">
        <v>20</v>
      </c>
      <c r="B37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66E7-1F8A-4DF6-8734-B341488B8A07}">
  <dimension ref="A1:D5"/>
  <sheetViews>
    <sheetView workbookViewId="0">
      <selection activeCell="B8" sqref="B8"/>
    </sheetView>
  </sheetViews>
  <sheetFormatPr defaultRowHeight="14.4" x14ac:dyDescent="0.3"/>
  <cols>
    <col min="2" max="2" width="14.109375" customWidth="1"/>
    <col min="3" max="3" width="16" customWidth="1"/>
    <col min="4" max="4" width="18.21875" customWidth="1"/>
  </cols>
  <sheetData>
    <row r="1" spans="1:4" x14ac:dyDescent="0.3">
      <c r="A1" s="1" t="s">
        <v>41</v>
      </c>
    </row>
    <row r="2" spans="1:4" x14ac:dyDescent="0.3">
      <c r="A2" t="s">
        <v>35</v>
      </c>
      <c r="B2" t="s">
        <v>36</v>
      </c>
      <c r="C2" t="s">
        <v>37</v>
      </c>
      <c r="D2" t="s">
        <v>38</v>
      </c>
    </row>
    <row r="3" spans="1:4" x14ac:dyDescent="0.3">
      <c r="A3" t="s">
        <v>22</v>
      </c>
      <c r="B3">
        <f>Cappuccino_price*Base_case_cappuccino_daily_volume</f>
        <v>175</v>
      </c>
      <c r="C3">
        <f>Cappuccino_price*Upside_case_cappuccino_daily_volume</f>
        <v>227.5</v>
      </c>
      <c r="D3" cm="1">
        <f t="array" ref="D3">Cappuccino_price*Downside_case_cappuccino_daily_volume</f>
        <v>154</v>
      </c>
    </row>
    <row r="4" spans="1:4" x14ac:dyDescent="0.3">
      <c r="A4" t="s">
        <v>23</v>
      </c>
      <c r="B4" cm="1">
        <f t="array" ref="B4">Espresso_price*Base_case_espresso_daily_volume</f>
        <v>130</v>
      </c>
      <c r="C4" cm="1">
        <f t="array" ref="C4">Espresso_price*Upside_case_espresso_daily_volume</f>
        <v>178.75</v>
      </c>
      <c r="D4" cm="1">
        <f t="array" ref="D4">Espresso_price*Downside_case_espresso_daily_volume</f>
        <v>104</v>
      </c>
    </row>
    <row r="5" spans="1:4" x14ac:dyDescent="0.3">
      <c r="A5" t="s">
        <v>24</v>
      </c>
      <c r="B5">
        <f>Mocha_price*Base_case_mocha_daily_volume</f>
        <v>155.25</v>
      </c>
      <c r="C5">
        <f>Mocha_price*Upside_case_mocha_daily_volume</f>
        <v>213.9</v>
      </c>
      <c r="D5">
        <f>Mocha_price*Downside_case_mocha_daily_volume</f>
        <v>131.1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92B8-5D07-4BED-B67E-2D7F1589E7C5}">
  <dimension ref="B2:D7"/>
  <sheetViews>
    <sheetView tabSelected="1" workbookViewId="0">
      <selection activeCell="G20" sqref="G20"/>
    </sheetView>
  </sheetViews>
  <sheetFormatPr defaultRowHeight="14.4" x14ac:dyDescent="0.3"/>
  <cols>
    <col min="2" max="2" width="19" bestFit="1" customWidth="1"/>
    <col min="3" max="3" width="11.33203125" bestFit="1" customWidth="1"/>
  </cols>
  <sheetData>
    <row r="2" spans="2:4" x14ac:dyDescent="0.3">
      <c r="B2" t="s">
        <v>42</v>
      </c>
      <c r="C2" t="s">
        <v>21</v>
      </c>
    </row>
    <row r="4" spans="2:4" x14ac:dyDescent="0.3">
      <c r="B4" s="1" t="s">
        <v>43</v>
      </c>
      <c r="C4" s="1" t="s">
        <v>8</v>
      </c>
      <c r="D4" s="1" t="s">
        <v>44</v>
      </c>
    </row>
    <row r="5" spans="2:4" x14ac:dyDescent="0.3">
      <c r="B5" t="s">
        <v>22</v>
      </c>
      <c r="C5" cm="1">
        <f t="array" aca="1" ref="C5" ca="1">INDIRECT(Daily_volume_scenario &amp; "_case_" &amp; LOWER(B5) &amp; "_daily_volume")</f>
        <v>65</v>
      </c>
      <c r="D5" cm="1">
        <f t="array" aca="1" ref="D5" ca="1">INDIRECT(LOWER(B5) &amp; "_price") * C5</f>
        <v>227.5</v>
      </c>
    </row>
    <row r="6" spans="2:4" x14ac:dyDescent="0.3">
      <c r="B6" t="s">
        <v>23</v>
      </c>
      <c r="C6" cm="1">
        <f t="array" aca="1" ref="C6" ca="1">INDIRECT(Daily_volume_scenario &amp; "_case_" &amp; LOWER(B6) &amp; "_daily_volume")</f>
        <v>55</v>
      </c>
      <c r="D6" cm="1">
        <f t="array" aca="1" ref="D6" ca="1">INDIRECT(LOWER(B6) &amp; "_price") * C6</f>
        <v>178.75</v>
      </c>
    </row>
    <row r="7" spans="2:4" x14ac:dyDescent="0.3">
      <c r="B7" t="s">
        <v>24</v>
      </c>
      <c r="C7" cm="1">
        <f t="array" aca="1" ref="C7" ca="1">INDIRECT(Daily_volume_scenario &amp; "_case_" &amp; LOWER(B7) &amp; "_daily_volume")</f>
        <v>62</v>
      </c>
      <c r="D7" cm="1">
        <f t="array" aca="1" ref="D7" ca="1">INDIRECT(LOWER(B7) &amp; "_price") * C7</f>
        <v>213.9</v>
      </c>
    </row>
  </sheetData>
  <dataValidations count="1">
    <dataValidation type="list" allowBlank="1" showInputMessage="1" showErrorMessage="1" sqref="C2" xr:uid="{CEFD3AF7-A45A-4AC9-88F1-DB45999C399D}">
      <formula1>"Base, Upside, Downside"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34</vt:i4>
      </vt:variant>
    </vt:vector>
  </HeadingPairs>
  <TitlesOfParts>
    <vt:vector size="37" baseType="lpstr">
      <vt:lpstr>Drivers</vt:lpstr>
      <vt:lpstr>Dashboard</vt:lpstr>
      <vt:lpstr>Dashboard2</vt:lpstr>
      <vt:lpstr>Barista_hourly_rate</vt:lpstr>
      <vt:lpstr>Base</vt:lpstr>
      <vt:lpstr>Base_case_cappuccino_daily_volume</vt:lpstr>
      <vt:lpstr>Base_case_espresso_daily_volume</vt:lpstr>
      <vt:lpstr>Base_case_mocha_daily_volume</vt:lpstr>
      <vt:lpstr>Cappuccino</vt:lpstr>
      <vt:lpstr>Cappuccino_daily_volume</vt:lpstr>
      <vt:lpstr>Cappuccino_price</vt:lpstr>
      <vt:lpstr>Cost_of_regular_paper_cup</vt:lpstr>
      <vt:lpstr>Cost_per_1_kg_Bean_Bag</vt:lpstr>
      <vt:lpstr>Cost_per_1_kg_Sugar_Bag</vt:lpstr>
      <vt:lpstr>Cost_per_1_Litre_milk</vt:lpstr>
      <vt:lpstr>Daily_Volume</vt:lpstr>
      <vt:lpstr>Daily_volume_scenario</vt:lpstr>
      <vt:lpstr>Downside</vt:lpstr>
      <vt:lpstr>Downside_case_cappuccino_daily_volume</vt:lpstr>
      <vt:lpstr>Downside_case_cappucino_daily_volume</vt:lpstr>
      <vt:lpstr>Downside_case_espresso_daily_volume</vt:lpstr>
      <vt:lpstr>Downside_case_mocha_daily_volume</vt:lpstr>
      <vt:lpstr>Espresso</vt:lpstr>
      <vt:lpstr>Espresso_daily_volume</vt:lpstr>
      <vt:lpstr>Espresso_price</vt:lpstr>
      <vt:lpstr>Expresso_price</vt:lpstr>
      <vt:lpstr>Manager_hourly_rate</vt:lpstr>
      <vt:lpstr>Misc._costs_per_regular_cup</vt:lpstr>
      <vt:lpstr>Mocha</vt:lpstr>
      <vt:lpstr>Mocha_daily_volume</vt:lpstr>
      <vt:lpstr>Mocha_price</vt:lpstr>
      <vt:lpstr>Price</vt:lpstr>
      <vt:lpstr>Prices</vt:lpstr>
      <vt:lpstr>Upside</vt:lpstr>
      <vt:lpstr>Upside_case_cappuccino_daily_volume</vt:lpstr>
      <vt:lpstr>Upside_case_espresso_daily_volume</vt:lpstr>
      <vt:lpstr>Upside_case_mocha_daily_volume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Younis</dc:creator>
  <cp:lastModifiedBy>Ayesha Younis</cp:lastModifiedBy>
  <dcterms:created xsi:type="dcterms:W3CDTF">2026-01-23T16:30:22Z</dcterms:created>
  <dcterms:modified xsi:type="dcterms:W3CDTF">2026-01-24T12:06:54Z</dcterms:modified>
</cp:coreProperties>
</file>