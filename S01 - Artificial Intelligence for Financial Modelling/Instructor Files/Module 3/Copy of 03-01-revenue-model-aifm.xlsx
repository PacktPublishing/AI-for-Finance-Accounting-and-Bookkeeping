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3 work files\"/>
    </mc:Choice>
  </mc:AlternateContent>
  <xr:revisionPtr revIDLastSave="0" documentId="13_ncr:1_{9B5B3227-C2F8-451C-A576-79E0FE917D0A}" xr6:coauthVersionLast="47" xr6:coauthVersionMax="47" xr10:uidLastSave="{00000000-0000-0000-0000-000000000000}"/>
  <bookViews>
    <workbookView xWindow="984" yWindow="0" windowWidth="22056" windowHeight="12960" xr2:uid="{9E0ECF32-E2AA-4ECF-8FB6-F8B3FFD79EDD}"/>
  </bookViews>
  <sheets>
    <sheet name="Calculation" sheetId="1" r:id="rId1"/>
    <sheet name="Drivers" sheetId="2" r:id="rId2"/>
  </sheets>
  <definedNames>
    <definedName name="Barista_hourly_rate">Drivers!$B$8</definedName>
    <definedName name="Business_Tax">Drivers!$B$18</definedName>
    <definedName name="Cappuccino_daily_volume">Drivers!$B$12</definedName>
    <definedName name="Cappuccino_Regular_Price">Drivers!$B$2</definedName>
    <definedName name="Cost_of_regular_paper_cup">Drivers!$B$9</definedName>
    <definedName name="Cost_per_1_kg_Bean_Bag">Drivers!$B$5</definedName>
    <definedName name="Cost_per_1_kg_Sugar_Bag">Drivers!$B$7</definedName>
    <definedName name="Cost_per_1_Litre_milk">Drivers!$B$6</definedName>
    <definedName name="Daily_Volume">Drivers!$B$11</definedName>
    <definedName name="Discount_on_Cappuccino">Drivers!$B$21</definedName>
    <definedName name="Discount_on_Espresso">Drivers!$B$22</definedName>
    <definedName name="Discount_on_Mocha">Drivers!$B$23</definedName>
    <definedName name="Espresso_daily_volume">Drivers!$B$13</definedName>
    <definedName name="Expresso_Regular_Price">Drivers!$B$3</definedName>
    <definedName name="Mocha_daily_volume">Drivers!$B$14</definedName>
    <definedName name="Mocha_Regular_Price">Drivers!$B$4</definedName>
    <definedName name="Sales_Tax">Drivers!$B$17</definedName>
    <definedName name="Tax_type">Drivers!$B$16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9" i="1"/>
  <c r="B17" i="1"/>
  <c r="B16" i="1"/>
  <c r="B15" i="1"/>
  <c r="B14" i="1"/>
  <c r="B12" i="1"/>
  <c r="B11" i="1"/>
  <c r="B10" i="1"/>
  <c r="B9" i="1"/>
  <c r="B7" i="1"/>
  <c r="B6" i="1"/>
  <c r="B5" i="1"/>
</calcChain>
</file>

<file path=xl/sharedStrings.xml><?xml version="1.0" encoding="utf-8"?>
<sst xmlns="http://schemas.openxmlformats.org/spreadsheetml/2006/main" count="35" uniqueCount="35">
  <si>
    <t>Bean and Basket</t>
  </si>
  <si>
    <t>Daily Volume</t>
  </si>
  <si>
    <t>Prices</t>
  </si>
  <si>
    <t>Cappuccino Regular Price</t>
  </si>
  <si>
    <t>Expresso Regular Price</t>
  </si>
  <si>
    <t>Mocha Regular Price</t>
  </si>
  <si>
    <t>Cost per 1 kg Bean Bag</t>
  </si>
  <si>
    <t>Cost per 1 Litre milk</t>
  </si>
  <si>
    <t>Cost per 1 kg Sugar Bag</t>
  </si>
  <si>
    <t>Barista hourly rate</t>
  </si>
  <si>
    <t>Cost of regular paper cup</t>
  </si>
  <si>
    <t>Tax type</t>
  </si>
  <si>
    <t>Rate</t>
  </si>
  <si>
    <t>Sales Tax</t>
  </si>
  <si>
    <t>Business Tax</t>
  </si>
  <si>
    <t>Cappuccino daily volume</t>
  </si>
  <si>
    <t>Espresso daily volume</t>
  </si>
  <si>
    <t>Mocha daily volume</t>
  </si>
  <si>
    <t>Gross Receipts incl. Tax Cappuccino</t>
  </si>
  <si>
    <t>Gross Receipts incl. Tax Expresso</t>
  </si>
  <si>
    <t>Gross Receipts incl. Tax Mocha</t>
  </si>
  <si>
    <t>Discount on Cappuccino</t>
  </si>
  <si>
    <t>Discount on Espresso</t>
  </si>
  <si>
    <t>Discount on Mocha</t>
  </si>
  <si>
    <t>Discount</t>
  </si>
  <si>
    <t>Gross revenue Cappuccino</t>
  </si>
  <si>
    <t>Gross revenue Espresso</t>
  </si>
  <si>
    <t>Gross revenue Mocha</t>
  </si>
  <si>
    <t>Total Gross Revenue</t>
  </si>
  <si>
    <t>Discounts on Cappuccino</t>
  </si>
  <si>
    <t>Discounts on Espresso</t>
  </si>
  <si>
    <t>Discounts on Mocha</t>
  </si>
  <si>
    <t>Total discounts</t>
  </si>
  <si>
    <t>Tax</t>
  </si>
  <si>
    <t>Net Revenue after discounts and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</si>
</sst>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2" fillId="0" borderId="0" xfId="0" applyFont="1"/>
    <xf numFmtId="44" fontId="0" fillId="0" borderId="0" xfId="1" applyFont="1"/>
    <xf numFmtId="9" fontId="2" fillId="0" borderId="0" xfId="0" applyNumberFormat="1" applyFont="1"/>
    <xf numFmtId="9" fontId="0" fillId="0" borderId="0" xfId="0" applyNumberFormat="1"/>
    <xf numFmtId="44" fontId="0" fillId="0" borderId="0" xfId="0" applyNumberFormat="1"/>
    <xf numFmtId="9" fontId="0" fillId="0" borderId="0" xfId="2" applyFont="1"/>
    <xf numFmtId="44" fontId="2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EFC8-EC23-4936-9000-C1C74DB78210}">
  <dimension ref="A1:C21"/>
  <sheetViews>
    <sheetView tabSelected="1" topLeftCell="A7" zoomScale="150" zoomScaleNormal="150" workbookViewId="0">
      <selection activeCell="A21" sqref="A21"/>
    </sheetView>
  </sheetViews>
  <sheetFormatPr defaultRowHeight="14.4" x14ac:dyDescent="0.3"/>
  <cols>
    <col min="1" max="1" width="32.109375" customWidth="1"/>
    <col min="2" max="2" width="14.77734375" customWidth="1"/>
  </cols>
  <sheetData>
    <row r="1" spans="1:3" x14ac:dyDescent="0.3">
      <c r="A1" t="s">
        <v>0</v>
      </c>
    </row>
    <row r="2" spans="1:3" x14ac:dyDescent="0.3">
      <c r="A2" s="1">
        <v>46023</v>
      </c>
    </row>
    <row r="5" spans="1:3" x14ac:dyDescent="0.3">
      <c r="A5" t="s">
        <v>18</v>
      </c>
      <c r="B5" s="6">
        <f>Cappuccino_Regular_Price*Cappuccino_daily_volume*(1+Sales_Tax)</f>
        <v>392.00000000000006</v>
      </c>
      <c r="C5" s="3"/>
    </row>
    <row r="6" spans="1:3" x14ac:dyDescent="0.3">
      <c r="A6" t="s">
        <v>19</v>
      </c>
      <c r="B6" s="3">
        <f>Expresso_Regular_Price*Espresso_daily_volume*(1+Sales_Tax)</f>
        <v>455.00000000000006</v>
      </c>
    </row>
    <row r="7" spans="1:3" x14ac:dyDescent="0.3">
      <c r="A7" t="s">
        <v>20</v>
      </c>
      <c r="B7" s="3">
        <f>Mocha_Regular_Price*Mocha_daily_volume*(1+Sales_Tax)</f>
        <v>579.6</v>
      </c>
    </row>
    <row r="9" spans="1:3" x14ac:dyDescent="0.3">
      <c r="A9" t="s">
        <v>25</v>
      </c>
      <c r="B9" s="3">
        <f>Cappuccino_Regular_Price*Cappuccino_daily_volume</f>
        <v>350</v>
      </c>
    </row>
    <row r="10" spans="1:3" x14ac:dyDescent="0.3">
      <c r="A10" t="s">
        <v>26</v>
      </c>
      <c r="B10" s="3">
        <f>Expresso_Regular_Price*Espresso_daily_volume</f>
        <v>406.25</v>
      </c>
    </row>
    <row r="11" spans="1:3" x14ac:dyDescent="0.3">
      <c r="A11" t="s">
        <v>27</v>
      </c>
      <c r="B11" s="3">
        <f>Mocha_Regular_Price*Mocha_daily_volume</f>
        <v>517.5</v>
      </c>
    </row>
    <row r="12" spans="1:3" x14ac:dyDescent="0.3">
      <c r="A12" s="2" t="s">
        <v>28</v>
      </c>
      <c r="B12" s="8">
        <f>SUM(B9:B11)</f>
        <v>1273.75</v>
      </c>
    </row>
    <row r="13" spans="1:3" x14ac:dyDescent="0.3">
      <c r="B13" s="3"/>
    </row>
    <row r="14" spans="1:3" x14ac:dyDescent="0.3">
      <c r="A14" t="s">
        <v>29</v>
      </c>
      <c r="B14" s="3">
        <f>(Cappuccino_Regular_Price*Cappuccino_daily_volume)*Discount_on_Cappuccino</f>
        <v>7</v>
      </c>
    </row>
    <row r="15" spans="1:3" x14ac:dyDescent="0.3">
      <c r="A15" t="s">
        <v>30</v>
      </c>
      <c r="B15" s="3">
        <f>(Expresso_Regular_Price*Espresso_daily_volume)*Discount_on_Espresso</f>
        <v>8.125</v>
      </c>
    </row>
    <row r="16" spans="1:3" x14ac:dyDescent="0.3">
      <c r="A16" t="s">
        <v>31</v>
      </c>
      <c r="B16" s="3">
        <f>(Mocha_Regular_Price*Mocha_daily_volume)*Discount_on_Mocha</f>
        <v>15.524999999999999</v>
      </c>
    </row>
    <row r="17" spans="1:2" x14ac:dyDescent="0.3">
      <c r="A17" s="2" t="s">
        <v>32</v>
      </c>
      <c r="B17" s="8">
        <f>SUM(B14:B16)</f>
        <v>30.65</v>
      </c>
    </row>
    <row r="18" spans="1:2" x14ac:dyDescent="0.3">
      <c r="B18" s="3"/>
    </row>
    <row r="19" spans="1:2" x14ac:dyDescent="0.3">
      <c r="A19" s="2" t="s">
        <v>33</v>
      </c>
      <c r="B19" s="8">
        <f>(B12-B17)*Sales_Tax</f>
        <v>149.172</v>
      </c>
    </row>
    <row r="20" spans="1:2" x14ac:dyDescent="0.3">
      <c r="B20" s="3"/>
    </row>
    <row r="21" spans="1:2" x14ac:dyDescent="0.3">
      <c r="A21" s="2" t="s">
        <v>34</v>
      </c>
      <c r="B21" s="8">
        <f>B12-B17-B19</f>
        <v>1093.9279999999999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2FA1-EC88-4A78-A2DC-CDEE5BED09D4}">
  <dimension ref="A1:B23"/>
  <sheetViews>
    <sheetView topLeftCell="A5" zoomScale="150" zoomScaleNormal="150" workbookViewId="0">
      <selection activeCell="A22" sqref="A22"/>
    </sheetView>
  </sheetViews>
  <sheetFormatPr defaultRowHeight="14.4" x14ac:dyDescent="0.3"/>
  <cols>
    <col min="1" max="1" width="22.44140625" bestFit="1" customWidth="1"/>
  </cols>
  <sheetData>
    <row r="1" spans="1:2" x14ac:dyDescent="0.3">
      <c r="A1" s="2" t="s">
        <v>2</v>
      </c>
    </row>
    <row r="2" spans="1:2" x14ac:dyDescent="0.3">
      <c r="A2" t="s">
        <v>3</v>
      </c>
      <c r="B2" s="3">
        <v>3.5</v>
      </c>
    </row>
    <row r="3" spans="1:2" x14ac:dyDescent="0.3">
      <c r="A3" t="s">
        <v>4</v>
      </c>
      <c r="B3" s="3">
        <v>3.25</v>
      </c>
    </row>
    <row r="4" spans="1:2" x14ac:dyDescent="0.3">
      <c r="A4" t="s">
        <v>5</v>
      </c>
      <c r="B4" s="3">
        <v>3.45</v>
      </c>
    </row>
    <row r="5" spans="1:2" x14ac:dyDescent="0.3">
      <c r="A5" t="s">
        <v>6</v>
      </c>
      <c r="B5" s="3">
        <v>12</v>
      </c>
    </row>
    <row r="6" spans="1:2" x14ac:dyDescent="0.3">
      <c r="A6" t="s">
        <v>7</v>
      </c>
      <c r="B6" s="3">
        <v>18</v>
      </c>
    </row>
    <row r="7" spans="1:2" x14ac:dyDescent="0.3">
      <c r="A7" t="s">
        <v>8</v>
      </c>
      <c r="B7" s="3">
        <v>19</v>
      </c>
    </row>
    <row r="8" spans="1:2" x14ac:dyDescent="0.3">
      <c r="A8" t="s">
        <v>9</v>
      </c>
      <c r="B8" s="3">
        <v>18</v>
      </c>
    </row>
    <row r="9" spans="1:2" x14ac:dyDescent="0.3">
      <c r="A9" t="s">
        <v>10</v>
      </c>
      <c r="B9" s="3">
        <v>0.2</v>
      </c>
    </row>
    <row r="11" spans="1:2" x14ac:dyDescent="0.3">
      <c r="A11" s="2" t="s">
        <v>1</v>
      </c>
    </row>
    <row r="12" spans="1:2" x14ac:dyDescent="0.3">
      <c r="A12" t="s">
        <v>15</v>
      </c>
      <c r="B12">
        <v>100</v>
      </c>
    </row>
    <row r="13" spans="1:2" x14ac:dyDescent="0.3">
      <c r="A13" t="s">
        <v>16</v>
      </c>
      <c r="B13">
        <v>125</v>
      </c>
    </row>
    <row r="14" spans="1:2" x14ac:dyDescent="0.3">
      <c r="A14" t="s">
        <v>17</v>
      </c>
      <c r="B14">
        <v>150</v>
      </c>
    </row>
    <row r="16" spans="1:2" x14ac:dyDescent="0.3">
      <c r="A16" s="2" t="s">
        <v>11</v>
      </c>
      <c r="B16" s="4" t="s">
        <v>12</v>
      </c>
    </row>
    <row r="17" spans="1:2" x14ac:dyDescent="0.3">
      <c r="A17" t="s">
        <v>13</v>
      </c>
      <c r="B17" s="5">
        <v>0.12</v>
      </c>
    </row>
    <row r="18" spans="1:2" x14ac:dyDescent="0.3">
      <c r="A18" t="s">
        <v>14</v>
      </c>
      <c r="B18" s="5">
        <v>0.15</v>
      </c>
    </row>
    <row r="20" spans="1:2" x14ac:dyDescent="0.3">
      <c r="A20" s="2" t="s">
        <v>24</v>
      </c>
    </row>
    <row r="21" spans="1:2" x14ac:dyDescent="0.3">
      <c r="A21" t="s">
        <v>21</v>
      </c>
      <c r="B21" s="7">
        <v>0.02</v>
      </c>
    </row>
    <row r="22" spans="1:2" x14ac:dyDescent="0.3">
      <c r="A22" t="s">
        <v>22</v>
      </c>
      <c r="B22" s="7">
        <v>0.02</v>
      </c>
    </row>
    <row r="23" spans="1:2" x14ac:dyDescent="0.3">
      <c r="A23" t="s">
        <v>23</v>
      </c>
      <c r="B23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Calculation</vt:lpstr>
      <vt:lpstr>Drivers</vt:lpstr>
      <vt:lpstr>Barista_hourly_rate</vt:lpstr>
      <vt:lpstr>Business_Tax</vt:lpstr>
      <vt:lpstr>Cappuccino_daily_volume</vt:lpstr>
      <vt:lpstr>Cappuccino_Regular_Price</vt:lpstr>
      <vt:lpstr>Cost_of_regular_paper_cup</vt:lpstr>
      <vt:lpstr>Cost_per_1_kg_Bean_Bag</vt:lpstr>
      <vt:lpstr>Cost_per_1_kg_Sugar_Bag</vt:lpstr>
      <vt:lpstr>Cost_per_1_Litre_milk</vt:lpstr>
      <vt:lpstr>Daily_Volume</vt:lpstr>
      <vt:lpstr>Discount_on_Cappuccino</vt:lpstr>
      <vt:lpstr>Discount_on_Espresso</vt:lpstr>
      <vt:lpstr>Discount_on_Mocha</vt:lpstr>
      <vt:lpstr>Espresso_daily_volume</vt:lpstr>
      <vt:lpstr>Expresso_Regular_Price</vt:lpstr>
      <vt:lpstr>Mocha_daily_volume</vt:lpstr>
      <vt:lpstr>Mocha_Regular_Price</vt:lpstr>
      <vt:lpstr>Sales_Tax</vt:lpstr>
      <vt:lpstr>Tax_type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2026-01-20T09:06:56Z</dcterms:created>
  <dcterms:modified xsi:type="dcterms:W3CDTF">2026-01-23T11:36:11Z</dcterms:modified>
</cp:coreProperties>
</file>