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3 work files\"/>
    </mc:Choice>
  </mc:AlternateContent>
  <xr:revisionPtr revIDLastSave="0" documentId="13_ncr:1_{7052E07D-9C28-4C70-B961-9E893A6F5270}" xr6:coauthVersionLast="47" xr6:coauthVersionMax="47" xr10:uidLastSave="{00000000-0000-0000-0000-000000000000}"/>
  <bookViews>
    <workbookView xWindow="1116" yWindow="60" windowWidth="22056" windowHeight="12960" xr2:uid="{F5E30BEB-D06A-45F7-B3CB-2327E6D7B6F5}"/>
  </bookViews>
  <sheets>
    <sheet name="Calculations" sheetId="3" r:id="rId1"/>
    <sheet name="Drivers" sheetId="2" r:id="rId2"/>
  </sheets>
  <definedNames>
    <definedName name="Base_Cappuccino_MidAtlantic">Drivers!$B$9:$E$9</definedName>
    <definedName name="Base_Cappuccino_NewEngland">Drivers!$B$6:$E$6</definedName>
    <definedName name="Base_Espresso_MidAtlantic">Drivers!$B$10:$E$10</definedName>
    <definedName name="Base_Espresso_NewEngland">Drivers!$B$7:$E$7</definedName>
    <definedName name="Base_Mocha_MidAtlantic">Drivers!$B$11:$E$11</definedName>
    <definedName name="Base_Mocha_NewEngland">Drivers!$B$8:$E$8</definedName>
    <definedName name="Cappuccino_Price">Drivers!$B$1</definedName>
    <definedName name="case_product_region">Drivers!$B$6:$E$23</definedName>
    <definedName name="daily_volume">Drivers!$B$6:$E$23</definedName>
    <definedName name="Daily_volume_dec_25">Drivers!$D$6:$D$23</definedName>
    <definedName name="Daily_volume_nov_25">Drivers!$C$6:$C$23</definedName>
    <definedName name="Daily_volume_oct_25">Drivers!$B$6:$B$23</definedName>
    <definedName name="daily_volume_Q4">Drivers!$E$6:$E$23</definedName>
    <definedName name="Dec_25">Drivers!$D$6:$D$23</definedName>
    <definedName name="Downside_Cappuccino_MidAtlantic">Drivers!$B$21:$E$21</definedName>
    <definedName name="Downside_Cappuccino_NewEngland">Drivers!$B$18:$E$18</definedName>
    <definedName name="Downside_Espresso_MidAtlantic">Drivers!$B$22:$E$22</definedName>
    <definedName name="Downside_Espresso_NewEngland">Drivers!$B$19:$E$19</definedName>
    <definedName name="Downside_Mocha_MidAtlantic">Drivers!$B$23:$E$23</definedName>
    <definedName name="Downside_Mocha_NewEngland">Drivers!$B$20:$E$20</definedName>
    <definedName name="Espresso_Price">Drivers!$B$2</definedName>
    <definedName name="Mocha_Price">Drivers!$B$3</definedName>
    <definedName name="Nov_25">Drivers!$C$6:$C$23</definedName>
    <definedName name="Oct_25">Drivers!$B$6:$B$23</definedName>
    <definedName name="Q4_Total">Drivers!$E$6:$E$23</definedName>
    <definedName name="Upside_Cappuccino_MidAtlantic">Drivers!$B$15:$E$15</definedName>
    <definedName name="Upside_Cappuccino_NewEngland">Drivers!$B$12:$E$12</definedName>
    <definedName name="Upside_Espresso_MidAtlantic">Drivers!$B$16:$E$16</definedName>
    <definedName name="Upside_Espresso_NewEngland">Drivers!$B$13:$E$13</definedName>
    <definedName name="Upside_Mocha_MidAtlantic">Drivers!$B$17:$E$17</definedName>
    <definedName name="Upside_Mocha_NewEngland">Drivers!$B$14:$E$14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D5" i="3" s="1"/>
  <c r="E5" i="3" s="1"/>
  <c r="E16" i="2"/>
  <c r="D6" i="3" s="1"/>
  <c r="E17" i="2"/>
  <c r="D7" i="3" s="1"/>
  <c r="E18" i="2"/>
  <c r="E19" i="2"/>
  <c r="E20" i="2"/>
  <c r="E21" i="2"/>
  <c r="E22" i="2"/>
  <c r="E23" i="2"/>
  <c r="E6" i="2"/>
  <c r="B6" i="3"/>
  <c r="C6" i="3" s="1"/>
  <c r="B7" i="3"/>
  <c r="C7" i="3" s="1"/>
  <c r="D8" i="3" l="1"/>
  <c r="B5" i="3"/>
  <c r="E6" i="3"/>
  <c r="F6" i="3" s="1"/>
  <c r="E7" i="3"/>
  <c r="F7" i="3" s="1"/>
  <c r="E8" i="3" l="1"/>
  <c r="C5" i="3"/>
  <c r="B8" i="3"/>
  <c r="C8" i="3" l="1"/>
  <c r="F5" i="3"/>
  <c r="F8" i="3" s="1"/>
</calcChain>
</file>

<file path=xl/sharedStrings.xml><?xml version="1.0" encoding="utf-8"?>
<sst xmlns="http://schemas.openxmlformats.org/spreadsheetml/2006/main" count="40" uniqueCount="40">
  <si>
    <t>Product</t>
  </si>
  <si>
    <t>Cappuccino</t>
  </si>
  <si>
    <t>Espresso</t>
  </si>
  <si>
    <t>Mocha</t>
  </si>
  <si>
    <t>Cappuccino Price</t>
  </si>
  <si>
    <t>Espresso Price</t>
  </si>
  <si>
    <t>Mocha Price</t>
  </si>
  <si>
    <t>Base_Cappuccino_NewEngland</t>
  </si>
  <si>
    <t>Base_Espresso_NewEngland</t>
  </si>
  <si>
    <t>Base_Mocha_NewEngland</t>
  </si>
  <si>
    <t>Base_Cappuccino_MidAtlantic</t>
  </si>
  <si>
    <t>Base_Espresso_MidAtlantic</t>
  </si>
  <si>
    <t>Base_Mocha_MidAtlantic</t>
  </si>
  <si>
    <t>Upside_Cappuccino_NewEngland</t>
  </si>
  <si>
    <t>Upside_Espresso_NewEngland</t>
  </si>
  <si>
    <t>Upside_Mocha_NewEngland</t>
  </si>
  <si>
    <t>Upside_Cappuccino_MidAtlantic</t>
  </si>
  <si>
    <t>Upside_Espresso_MidAtlantic</t>
  </si>
  <si>
    <t>Upside_Mocha_MidAtlantic</t>
  </si>
  <si>
    <t>Downside_Cappuccino_NewEngland</t>
  </si>
  <si>
    <t>Downside_Espresso_NewEngland</t>
  </si>
  <si>
    <t>Downside_Mocha_NewEngland</t>
  </si>
  <si>
    <t>Downside_Cappuccino_MidAtlantic</t>
  </si>
  <si>
    <t>Downside_Espresso_MidAtlantic</t>
  </si>
  <si>
    <t>Downside_Mocha_MidAtlantic</t>
  </si>
  <si>
    <t>daily_volume</t>
  </si>
  <si>
    <t>Daily_volume_dec_25</t>
  </si>
  <si>
    <t>Daily_volume_oct_25</t>
  </si>
  <si>
    <t>Daily_volume_nov_25</t>
  </si>
  <si>
    <t>Q4_total_volume</t>
  </si>
  <si>
    <t>Scenario Selector</t>
  </si>
  <si>
    <t>Sales Tax</t>
  </si>
  <si>
    <t>Business Tax</t>
  </si>
  <si>
    <t>Upside</t>
  </si>
  <si>
    <t xml:space="preserve">Total </t>
  </si>
  <si>
    <t>Gross Revenue Mid Atlantic</t>
  </si>
  <si>
    <t>Gross Revenue New England</t>
  </si>
  <si>
    <t>Q4 2025 Total Volume New England</t>
  </si>
  <si>
    <t>Q4 2025 Total Volume Mid Atlantic</t>
  </si>
  <si>
    <t>Q4 2025 Total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</si>
</sst>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44" fontId="0" fillId="0" borderId="0" xfId="1" applyFont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17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33" borderId="0" xfId="0" applyFont="1" applyFill="1"/>
    <xf numFmtId="0" fontId="16" fillId="0" borderId="10" xfId="0" applyFont="1" applyBorder="1"/>
    <xf numFmtId="0" fontId="0" fillId="0" borderId="10" xfId="0" applyBorder="1" applyAlignment="1">
      <alignment wrapText="1"/>
    </xf>
    <xf numFmtId="0" fontId="0" fillId="0" borderId="10" xfId="0" applyBorder="1"/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9" fontId="0" fillId="0" borderId="0" xfId="0" applyNumberFormat="1"/>
    <xf numFmtId="44" fontId="0" fillId="0" borderId="10" xfId="1" applyFont="1" applyBorder="1"/>
    <xf numFmtId="0" fontId="0" fillId="34" borderId="0" xfId="0" applyFill="1"/>
    <xf numFmtId="44" fontId="16" fillId="34" borderId="0" xfId="0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Scenario-Based Q4</a:t>
            </a:r>
            <a:r>
              <a:rPr lang="fr-CA" baseline="0"/>
              <a:t> 2025 Gross Revenue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Calculations!$A$5</c:f>
              <c:strCache>
                <c:ptCount val="1"/>
                <c:pt idx="0">
                  <c:v>Cappuccino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(Calculations!$C$4,Calculations!$E$4,Calculations!$F$4)</c:f>
              <c:strCache>
                <c:ptCount val="3"/>
                <c:pt idx="0">
                  <c:v>Gross Revenue New England</c:v>
                </c:pt>
                <c:pt idx="1">
                  <c:v>Gross Revenue Mid Atlantic</c:v>
                </c:pt>
                <c:pt idx="2">
                  <c:v>Q4 2025 Total Gross Revenue</c:v>
                </c:pt>
              </c:strCache>
            </c:strRef>
          </c:cat>
          <c:val>
            <c:numRef>
              <c:f>(Calculations!$C$5,Calculations!$E$5,Calculations!$F$5)</c:f>
              <c:numCache>
                <c:formatCode>_("$"* #,##0.00_);_("$"* \(#,##0.00\);_("$"* "-"??_);_(@_)</c:formatCode>
                <c:ptCount val="3"/>
                <c:pt idx="0">
                  <c:v>318.5</c:v>
                </c:pt>
                <c:pt idx="1">
                  <c:v>374.5</c:v>
                </c:pt>
                <c:pt idx="2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F-4759-88BB-3D25CE095D5B}"/>
            </c:ext>
          </c:extLst>
        </c:ser>
        <c:ser>
          <c:idx val="1"/>
          <c:order val="1"/>
          <c:tx>
            <c:strRef>
              <c:f>Calculations!$A$6</c:f>
              <c:strCache>
                <c:ptCount val="1"/>
                <c:pt idx="0">
                  <c:v>Espresso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(Calculations!$C$4,Calculations!$E$4,Calculations!$F$4)</c:f>
              <c:strCache>
                <c:ptCount val="3"/>
                <c:pt idx="0">
                  <c:v>Gross Revenue New England</c:v>
                </c:pt>
                <c:pt idx="1">
                  <c:v>Gross Revenue Mid Atlantic</c:v>
                </c:pt>
                <c:pt idx="2">
                  <c:v>Q4 2025 Total Gross Revenue</c:v>
                </c:pt>
              </c:strCache>
            </c:strRef>
          </c:cat>
          <c:val>
            <c:numRef>
              <c:f>(Calculations!$C$6,Calculations!$E$6,Calculations!$F$6)</c:f>
              <c:numCache>
                <c:formatCode>_("$"* #,##0.00_);_("$"* \(#,##0.00\);_("$"* "-"??_);_(@_)</c:formatCode>
                <c:ptCount val="3"/>
                <c:pt idx="0">
                  <c:v>195</c:v>
                </c:pt>
                <c:pt idx="1">
                  <c:v>318.5</c:v>
                </c:pt>
                <c:pt idx="2">
                  <c:v>513.5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F-4759-88BB-3D25CE095D5B}"/>
            </c:ext>
          </c:extLst>
        </c:ser>
        <c:ser>
          <c:idx val="2"/>
          <c:order val="2"/>
          <c:tx>
            <c:strRef>
              <c:f>Calculations!$A$7</c:f>
              <c:strCache>
                <c:ptCount val="1"/>
                <c:pt idx="0">
                  <c:v>Mocha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(Calculations!$C$4,Calculations!$E$4,Calculations!$F$4)</c:f>
              <c:strCache>
                <c:ptCount val="3"/>
                <c:pt idx="0">
                  <c:v>Gross Revenue New England</c:v>
                </c:pt>
                <c:pt idx="1">
                  <c:v>Gross Revenue Mid Atlantic</c:v>
                </c:pt>
                <c:pt idx="2">
                  <c:v>Q4 2025 Total Gross Revenue</c:v>
                </c:pt>
              </c:strCache>
            </c:strRef>
          </c:cat>
          <c:val>
            <c:numRef>
              <c:f>(Calculations!$C$7,Calculations!$E$7,Calculations!$F$7)</c:f>
              <c:numCache>
                <c:formatCode>_("$"* #,##0.00_);_("$"* \(#,##0.00\);_("$"* "-"??_);_(@_)</c:formatCode>
                <c:ptCount val="3"/>
                <c:pt idx="0">
                  <c:v>248.4</c:v>
                </c:pt>
                <c:pt idx="1">
                  <c:v>303.60000000000002</c:v>
                </c:pt>
                <c:pt idx="2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F-4759-88BB-3D25CE095D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43160463"/>
        <c:axId val="1943159983"/>
      </c:barChart>
      <c:catAx>
        <c:axId val="194316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3159983"/>
        <c:crosses val="autoZero"/>
        <c:auto val="1"/>
        <c:lblAlgn val="ctr"/>
        <c:lblOffset val="100"/>
        <c:noMultiLvlLbl val="0"/>
      </c:catAx>
      <c:valAx>
        <c:axId val="1943159983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94316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179070</xdr:rowOff>
    </xdr:from>
    <xdr:to>
      <xdr:col>6</xdr:col>
      <xdr:colOff>30480</xdr:colOff>
      <xdr:row>24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E4A25F-A341-549C-3427-1034289E5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791B-E02C-4135-99CF-4C96E5F99C9B}">
  <dimension ref="A2:F8"/>
  <sheetViews>
    <sheetView tabSelected="1" workbookViewId="0">
      <selection activeCell="B2" sqref="B2"/>
    </sheetView>
  </sheetViews>
  <sheetFormatPr defaultRowHeight="14.4" x14ac:dyDescent="0.3"/>
  <cols>
    <col min="1" max="1" width="17.6640625" bestFit="1" customWidth="1"/>
    <col min="2" max="2" width="16.5546875" customWidth="1"/>
    <col min="3" max="3" width="15.33203125" customWidth="1"/>
    <col min="4" max="4" width="15" customWidth="1"/>
    <col min="5" max="5" width="15.88671875" customWidth="1"/>
    <col min="6" max="6" width="11" customWidth="1"/>
  </cols>
  <sheetData>
    <row r="2" spans="1:6" x14ac:dyDescent="0.3">
      <c r="A2" s="6" t="s">
        <v>30</v>
      </c>
      <c r="B2" s="6" t="s">
        <v>33</v>
      </c>
    </row>
    <row r="4" spans="1:6" ht="43.2" x14ac:dyDescent="0.3">
      <c r="A4" s="10" t="s">
        <v>0</v>
      </c>
      <c r="B4" s="11" t="s">
        <v>37</v>
      </c>
      <c r="C4" s="11" t="s">
        <v>36</v>
      </c>
      <c r="D4" s="11" t="s">
        <v>38</v>
      </c>
      <c r="E4" s="11" t="s">
        <v>35</v>
      </c>
      <c r="F4" s="11" t="s">
        <v>39</v>
      </c>
    </row>
    <row r="5" spans="1:6" x14ac:dyDescent="0.3">
      <c r="A5" s="7" t="s">
        <v>1</v>
      </c>
      <c r="B5" s="8">
        <f>INDEX(Drivers!$E$6:$E$23, MATCH(PROPER($B$2)&amp;"_"&amp;$A5&amp;"_NewEngland", Drivers!$A$6:$A$23, 0))</f>
        <v>91</v>
      </c>
      <c r="C5" s="13">
        <f>B5*Cappuccino_Price</f>
        <v>318.5</v>
      </c>
      <c r="D5" s="9">
        <f>INDEX(Drivers!$E$6:$E$23, MATCH(PROPER($B$2)&amp;"_"&amp;$A5&amp;"_MidAtlantic", Drivers!$A$6:$A$23, 0))</f>
        <v>107</v>
      </c>
      <c r="E5" s="13">
        <f>D5*Cappuccino_Price</f>
        <v>374.5</v>
      </c>
      <c r="F5" s="13">
        <f>E5+C5</f>
        <v>693</v>
      </c>
    </row>
    <row r="6" spans="1:6" x14ac:dyDescent="0.3">
      <c r="A6" s="7" t="s">
        <v>2</v>
      </c>
      <c r="B6" s="8">
        <f>INDEX(Drivers!$E$6:$E$23, MATCH(PROPER($B$2)&amp;"_"&amp;$A6&amp;"_NewEngland", Drivers!$A$6:$A$23, 0))</f>
        <v>60</v>
      </c>
      <c r="C6" s="13">
        <f>B6*Espresso_Price</f>
        <v>195</v>
      </c>
      <c r="D6" s="9">
        <f>INDEX(Drivers!$E$6:$E$23, MATCH(PROPER($B$2)&amp;"_"&amp;$A6&amp;"_MidAtlantic", Drivers!$A$6:$A$23, 0))</f>
        <v>98</v>
      </c>
      <c r="E6" s="13">
        <f>D6*Espresso_Price</f>
        <v>318.5</v>
      </c>
      <c r="F6" s="13">
        <f t="shared" ref="F6:F7" si="0">E6+C6</f>
        <v>513.5</v>
      </c>
    </row>
    <row r="7" spans="1:6" x14ac:dyDescent="0.3">
      <c r="A7" s="7" t="s">
        <v>3</v>
      </c>
      <c r="B7" s="8">
        <f>INDEX(Drivers!$E$6:$E$23, MATCH(PROPER($B$2)&amp;"_"&amp;$A7&amp;"_NewEngland", Drivers!$A$6:$A$23, 0))</f>
        <v>72</v>
      </c>
      <c r="C7" s="13">
        <f>B7*Mocha_Price</f>
        <v>248.4</v>
      </c>
      <c r="D7" s="9">
        <f>INDEX(Drivers!$E$6:$E$23, MATCH(PROPER($B$2)&amp;"_"&amp;$A7&amp;"_MidAtlantic", Drivers!$A$6:$A$23, 0))</f>
        <v>88</v>
      </c>
      <c r="E7" s="13">
        <f>D7*Mocha_Price</f>
        <v>303.60000000000002</v>
      </c>
      <c r="F7" s="13">
        <f t="shared" si="0"/>
        <v>552</v>
      </c>
    </row>
    <row r="8" spans="1:6" x14ac:dyDescent="0.3">
      <c r="A8" s="14" t="s">
        <v>34</v>
      </c>
      <c r="B8" s="15">
        <f>SUM(B5:B7)</f>
        <v>223</v>
      </c>
      <c r="C8" s="15">
        <f>SUM(C5:C7)</f>
        <v>761.9</v>
      </c>
      <c r="D8" s="15">
        <f>SUM(D5:D7)</f>
        <v>293</v>
      </c>
      <c r="E8" s="15">
        <f>SUM(E5:E7)</f>
        <v>996.6</v>
      </c>
      <c r="F8" s="15">
        <f>SUM(F5:F7)</f>
        <v>1758.5</v>
      </c>
    </row>
  </sheetData>
  <dataValidations count="1">
    <dataValidation type="list" allowBlank="1" showInputMessage="1" showErrorMessage="1" sqref="B2" xr:uid="{C9CDF5CE-B23D-4391-A08F-B07C25992377}">
      <formula1>"Base, Upside, Downside"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8D1E-735D-4ABD-B2B4-00EC39B1D28A}">
  <dimension ref="A1:E26"/>
  <sheetViews>
    <sheetView workbookViewId="0">
      <selection activeCell="D29" sqref="D29"/>
    </sheetView>
  </sheetViews>
  <sheetFormatPr defaultRowHeight="14.4" x14ac:dyDescent="0.3"/>
  <cols>
    <col min="1" max="1" width="30.77734375" customWidth="1"/>
    <col min="2" max="2" width="12.77734375" customWidth="1"/>
    <col min="3" max="3" width="12.6640625" customWidth="1"/>
    <col min="4" max="4" width="12.88671875" customWidth="1"/>
    <col min="5" max="5" width="8.77734375" customWidth="1"/>
    <col min="6" max="6" width="11" customWidth="1"/>
  </cols>
  <sheetData>
    <row r="1" spans="1:5" x14ac:dyDescent="0.3">
      <c r="A1" s="1" t="s">
        <v>4</v>
      </c>
      <c r="B1" s="2">
        <v>3.5</v>
      </c>
    </row>
    <row r="2" spans="1:5" x14ac:dyDescent="0.3">
      <c r="A2" s="1" t="s">
        <v>5</v>
      </c>
      <c r="B2" s="2">
        <v>3.25</v>
      </c>
    </row>
    <row r="3" spans="1:5" x14ac:dyDescent="0.3">
      <c r="A3" s="1" t="s">
        <v>6</v>
      </c>
      <c r="B3" s="2">
        <v>3.45</v>
      </c>
    </row>
    <row r="5" spans="1:5" ht="28.8" x14ac:dyDescent="0.3">
      <c r="A5" s="3" t="s">
        <v>25</v>
      </c>
      <c r="B5" s="4" t="s">
        <v>27</v>
      </c>
      <c r="C5" s="4" t="s">
        <v>28</v>
      </c>
      <c r="D5" s="4" t="s">
        <v>26</v>
      </c>
      <c r="E5" s="5" t="s">
        <v>29</v>
      </c>
    </row>
    <row r="6" spans="1:5" x14ac:dyDescent="0.3">
      <c r="A6" s="1" t="s">
        <v>7</v>
      </c>
      <c r="B6" s="1">
        <v>27</v>
      </c>
      <c r="C6" s="1">
        <v>19</v>
      </c>
      <c r="D6" s="1">
        <v>20</v>
      </c>
      <c r="E6" s="1">
        <f>SUM(B6:D6)</f>
        <v>66</v>
      </c>
    </row>
    <row r="7" spans="1:5" x14ac:dyDescent="0.3">
      <c r="A7" s="1" t="s">
        <v>8</v>
      </c>
      <c r="B7" s="1">
        <v>11</v>
      </c>
      <c r="C7" s="1">
        <v>16</v>
      </c>
      <c r="D7" s="1">
        <v>14</v>
      </c>
      <c r="E7" s="1">
        <f t="shared" ref="E7:E23" si="0">SUM(B7:D7)</f>
        <v>41</v>
      </c>
    </row>
    <row r="8" spans="1:5" x14ac:dyDescent="0.3">
      <c r="A8" s="1" t="s">
        <v>9</v>
      </c>
      <c r="B8" s="1">
        <v>14</v>
      </c>
      <c r="C8" s="1">
        <v>23</v>
      </c>
      <c r="D8" s="1">
        <v>19</v>
      </c>
      <c r="E8" s="1">
        <f t="shared" si="0"/>
        <v>56</v>
      </c>
    </row>
    <row r="9" spans="1:5" x14ac:dyDescent="0.3">
      <c r="A9" s="1" t="s">
        <v>10</v>
      </c>
      <c r="B9" s="1">
        <v>28</v>
      </c>
      <c r="C9" s="1">
        <v>36</v>
      </c>
      <c r="D9" s="1">
        <v>34</v>
      </c>
      <c r="E9" s="1">
        <f t="shared" si="0"/>
        <v>98</v>
      </c>
    </row>
    <row r="10" spans="1:5" x14ac:dyDescent="0.3">
      <c r="A10" s="1" t="s">
        <v>11</v>
      </c>
      <c r="B10" s="1">
        <v>27</v>
      </c>
      <c r="C10" s="1">
        <v>35</v>
      </c>
      <c r="D10" s="1">
        <v>25</v>
      </c>
      <c r="E10" s="1">
        <f t="shared" si="0"/>
        <v>87</v>
      </c>
    </row>
    <row r="11" spans="1:5" x14ac:dyDescent="0.3">
      <c r="A11" s="1" t="s">
        <v>12</v>
      </c>
      <c r="B11" s="1">
        <v>21</v>
      </c>
      <c r="C11" s="1">
        <v>26</v>
      </c>
      <c r="D11" s="1">
        <v>22</v>
      </c>
      <c r="E11" s="1">
        <f t="shared" si="0"/>
        <v>69</v>
      </c>
    </row>
    <row r="12" spans="1:5" x14ac:dyDescent="0.3">
      <c r="A12" s="1" t="s">
        <v>13</v>
      </c>
      <c r="B12" s="1">
        <v>38</v>
      </c>
      <c r="C12" s="1">
        <v>28</v>
      </c>
      <c r="D12" s="1">
        <v>25</v>
      </c>
      <c r="E12" s="1">
        <f t="shared" si="0"/>
        <v>91</v>
      </c>
    </row>
    <row r="13" spans="1:5" x14ac:dyDescent="0.3">
      <c r="A13" s="1" t="s">
        <v>14</v>
      </c>
      <c r="B13" s="1">
        <v>18</v>
      </c>
      <c r="C13" s="1">
        <v>22</v>
      </c>
      <c r="D13" s="1">
        <v>20</v>
      </c>
      <c r="E13" s="1">
        <f t="shared" si="0"/>
        <v>60</v>
      </c>
    </row>
    <row r="14" spans="1:5" x14ac:dyDescent="0.3">
      <c r="A14" s="1" t="s">
        <v>15</v>
      </c>
      <c r="B14" s="1">
        <v>19</v>
      </c>
      <c r="C14" s="1">
        <v>28</v>
      </c>
      <c r="D14" s="1">
        <v>25</v>
      </c>
      <c r="E14" s="1">
        <f t="shared" si="0"/>
        <v>72</v>
      </c>
    </row>
    <row r="15" spans="1:5" x14ac:dyDescent="0.3">
      <c r="A15" s="1" t="s">
        <v>16</v>
      </c>
      <c r="B15" s="1">
        <v>35</v>
      </c>
      <c r="C15" s="1">
        <v>42</v>
      </c>
      <c r="D15" s="1">
        <v>30</v>
      </c>
      <c r="E15" s="1">
        <f t="shared" si="0"/>
        <v>107</v>
      </c>
    </row>
    <row r="16" spans="1:5" x14ac:dyDescent="0.3">
      <c r="A16" s="1" t="s">
        <v>17</v>
      </c>
      <c r="B16" s="1">
        <v>30</v>
      </c>
      <c r="C16" s="1">
        <v>39</v>
      </c>
      <c r="D16" s="1">
        <v>29</v>
      </c>
      <c r="E16" s="1">
        <f t="shared" si="0"/>
        <v>98</v>
      </c>
    </row>
    <row r="17" spans="1:5" x14ac:dyDescent="0.3">
      <c r="A17" s="1" t="s">
        <v>18</v>
      </c>
      <c r="B17" s="1">
        <v>25</v>
      </c>
      <c r="C17" s="1">
        <v>35</v>
      </c>
      <c r="D17" s="1">
        <v>28</v>
      </c>
      <c r="E17" s="1">
        <f t="shared" si="0"/>
        <v>88</v>
      </c>
    </row>
    <row r="18" spans="1:5" x14ac:dyDescent="0.3">
      <c r="A18" s="1" t="s">
        <v>19</v>
      </c>
      <c r="B18" s="1">
        <v>20</v>
      </c>
      <c r="C18" s="1">
        <v>15</v>
      </c>
      <c r="D18" s="1">
        <v>12</v>
      </c>
      <c r="E18" s="1">
        <f t="shared" si="0"/>
        <v>47</v>
      </c>
    </row>
    <row r="19" spans="1:5" x14ac:dyDescent="0.3">
      <c r="A19" s="1" t="s">
        <v>20</v>
      </c>
      <c r="B19" s="1">
        <v>9</v>
      </c>
      <c r="C19" s="1">
        <v>12</v>
      </c>
      <c r="D19" s="1">
        <v>10</v>
      </c>
      <c r="E19" s="1">
        <f t="shared" si="0"/>
        <v>31</v>
      </c>
    </row>
    <row r="20" spans="1:5" x14ac:dyDescent="0.3">
      <c r="A20" s="1" t="s">
        <v>21</v>
      </c>
      <c r="B20" s="1">
        <v>13</v>
      </c>
      <c r="C20" s="1">
        <v>20</v>
      </c>
      <c r="D20" s="1">
        <v>17</v>
      </c>
      <c r="E20" s="1">
        <f t="shared" si="0"/>
        <v>50</v>
      </c>
    </row>
    <row r="21" spans="1:5" x14ac:dyDescent="0.3">
      <c r="A21" s="1" t="s">
        <v>22</v>
      </c>
      <c r="B21" s="1">
        <v>24</v>
      </c>
      <c r="C21" s="1">
        <v>30</v>
      </c>
      <c r="D21" s="1">
        <v>20</v>
      </c>
      <c r="E21" s="1">
        <f t="shared" si="0"/>
        <v>74</v>
      </c>
    </row>
    <row r="22" spans="1:5" x14ac:dyDescent="0.3">
      <c r="A22" s="1" t="s">
        <v>23</v>
      </c>
      <c r="B22" s="1">
        <v>24</v>
      </c>
      <c r="C22" s="1">
        <v>33</v>
      </c>
      <c r="D22" s="1">
        <v>21</v>
      </c>
      <c r="E22" s="1">
        <f t="shared" si="0"/>
        <v>78</v>
      </c>
    </row>
    <row r="23" spans="1:5" x14ac:dyDescent="0.3">
      <c r="A23" s="1" t="s">
        <v>24</v>
      </c>
      <c r="B23" s="1">
        <v>18</v>
      </c>
      <c r="C23" s="1">
        <v>23</v>
      </c>
      <c r="D23" s="1">
        <v>20</v>
      </c>
      <c r="E23" s="1">
        <f t="shared" si="0"/>
        <v>61</v>
      </c>
    </row>
    <row r="25" spans="1:5" x14ac:dyDescent="0.3">
      <c r="A25" s="1" t="s">
        <v>31</v>
      </c>
      <c r="B25" s="12">
        <v>0.12</v>
      </c>
    </row>
    <row r="26" spans="1:5" x14ac:dyDescent="0.3">
      <c r="A26" s="1" t="s">
        <v>32</v>
      </c>
      <c r="B26" s="12">
        <v>0.15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3B3DEC0-2D37-4747-BC60-E0366381589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Drivers!B6:D6</xm:f>
              <xm:sqref>F6</xm:sqref>
            </x14:sparkline>
            <x14:sparkline>
              <xm:f>Drivers!B7:D7</xm:f>
              <xm:sqref>F7</xm:sqref>
            </x14:sparkline>
            <x14:sparkline>
              <xm:f>Drivers!B8:D8</xm:f>
              <xm:sqref>F8</xm:sqref>
            </x14:sparkline>
            <x14:sparkline>
              <xm:f>Drivers!B9:D9</xm:f>
              <xm:sqref>F9</xm:sqref>
            </x14:sparkline>
            <x14:sparkline>
              <xm:f>Drivers!B10:D10</xm:f>
              <xm:sqref>F10</xm:sqref>
            </x14:sparkline>
            <x14:sparkline>
              <xm:f>Drivers!B11:D11</xm:f>
              <xm:sqref>F11</xm:sqref>
            </x14:sparkline>
            <x14:sparkline>
              <xm:f>Drivers!B12:D12</xm:f>
              <xm:sqref>F12</xm:sqref>
            </x14:sparkline>
            <x14:sparkline>
              <xm:f>Drivers!B13:D13</xm:f>
              <xm:sqref>F13</xm:sqref>
            </x14:sparkline>
            <x14:sparkline>
              <xm:f>Drivers!B14:D14</xm:f>
              <xm:sqref>F14</xm:sqref>
            </x14:sparkline>
            <x14:sparkline>
              <xm:f>Drivers!B15:D15</xm:f>
              <xm:sqref>F15</xm:sqref>
            </x14:sparkline>
            <x14:sparkline>
              <xm:f>Drivers!B16:D16</xm:f>
              <xm:sqref>F16</xm:sqref>
            </x14:sparkline>
            <x14:sparkline>
              <xm:f>Drivers!B17:D17</xm:f>
              <xm:sqref>F17</xm:sqref>
            </x14:sparkline>
            <x14:sparkline>
              <xm:f>Drivers!B18:D18</xm:f>
              <xm:sqref>F18</xm:sqref>
            </x14:sparkline>
            <x14:sparkline>
              <xm:f>Drivers!B19:D19</xm:f>
              <xm:sqref>F19</xm:sqref>
            </x14:sparkline>
            <x14:sparkline>
              <xm:f>Drivers!B20:D20</xm:f>
              <xm:sqref>F20</xm:sqref>
            </x14:sparkline>
            <x14:sparkline>
              <xm:f>Drivers!B21:D21</xm:f>
              <xm:sqref>F21</xm:sqref>
            </x14:sparkline>
            <x14:sparkline>
              <xm:f>Drivers!B22:D22</xm:f>
              <xm:sqref>F22</xm:sqref>
            </x14:sparkline>
            <x14:sparkline>
              <xm:f>Drivers!B23:D23</xm:f>
              <xm:sqref>F23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31</vt:i4>
      </vt:variant>
    </vt:vector>
  </HeadingPairs>
  <TitlesOfParts>
    <vt:vector size="33" baseType="lpstr">
      <vt:lpstr>Calculations</vt:lpstr>
      <vt:lpstr>Drivers</vt:lpstr>
      <vt:lpstr>Base_Cappuccino_MidAtlantic</vt:lpstr>
      <vt:lpstr>Base_Cappuccino_NewEngland</vt:lpstr>
      <vt:lpstr>Base_Espresso_MidAtlantic</vt:lpstr>
      <vt:lpstr>Base_Espresso_NewEngland</vt:lpstr>
      <vt:lpstr>Base_Mocha_MidAtlantic</vt:lpstr>
      <vt:lpstr>Base_Mocha_NewEngland</vt:lpstr>
      <vt:lpstr>Cappuccino_Price</vt:lpstr>
      <vt:lpstr>case_product_region</vt:lpstr>
      <vt:lpstr>daily_volume</vt:lpstr>
      <vt:lpstr>Daily_volume_dec_25</vt:lpstr>
      <vt:lpstr>Daily_volume_nov_25</vt:lpstr>
      <vt:lpstr>Daily_volume_oct_25</vt:lpstr>
      <vt:lpstr>daily_volume_Q4</vt:lpstr>
      <vt:lpstr>Dec_25</vt:lpstr>
      <vt:lpstr>Downside_Cappuccino_MidAtlantic</vt:lpstr>
      <vt:lpstr>Downside_Cappuccino_NewEngland</vt:lpstr>
      <vt:lpstr>Downside_Espresso_MidAtlantic</vt:lpstr>
      <vt:lpstr>Downside_Espresso_NewEngland</vt:lpstr>
      <vt:lpstr>Downside_Mocha_MidAtlantic</vt:lpstr>
      <vt:lpstr>Downside_Mocha_NewEngland</vt:lpstr>
      <vt:lpstr>Espresso_Price</vt:lpstr>
      <vt:lpstr>Mocha_Price</vt:lpstr>
      <vt:lpstr>Nov_25</vt:lpstr>
      <vt:lpstr>Oct_25</vt:lpstr>
      <vt:lpstr>Q4_Total</vt:lpstr>
      <vt:lpstr>Upside_Cappuccino_MidAtlantic</vt:lpstr>
      <vt:lpstr>Upside_Cappuccino_NewEngland</vt:lpstr>
      <vt:lpstr>Upside_Espresso_MidAtlantic</vt:lpstr>
      <vt:lpstr>Upside_Espresso_NewEngland</vt:lpstr>
      <vt:lpstr>Upside_Mocha_MidAtlantic</vt:lpstr>
      <vt:lpstr>Upside_Mocha_NewEngland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Ayesha Younis</cp:lastModifiedBy>
  <dcterms:created xsi:type="dcterms:W3CDTF">2026-01-24T16:20:01Z</dcterms:created>
  <dcterms:modified xsi:type="dcterms:W3CDTF">2026-01-24T17:30:05Z</dcterms:modified>
</cp:coreProperties>
</file>