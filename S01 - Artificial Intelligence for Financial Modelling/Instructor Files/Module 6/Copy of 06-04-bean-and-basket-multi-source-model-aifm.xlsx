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6 work files\"/>
    </mc:Choice>
  </mc:AlternateContent>
  <xr:revisionPtr revIDLastSave="0" documentId="13_ncr:1_{D595C8B9-4EA4-4C34-8AEA-DCEFF532B7E6}" xr6:coauthVersionLast="47" xr6:coauthVersionMax="47" xr10:uidLastSave="{00000000-0000-0000-0000-000000000000}"/>
  <bookViews>
    <workbookView xWindow="972" yWindow="324" windowWidth="22068" windowHeight="12636" tabRatio="657" xr2:uid="{00000000-000D-0000-FFFF-FFFF00000000}"/>
  </bookViews>
  <sheets>
    <sheet name="Inputs" sheetId="1" r:id="rId1"/>
    <sheet name="Drivers" sheetId="2" r:id="rId2"/>
    <sheet name="Calc_Revenue" sheetId="3" r:id="rId3"/>
    <sheet name="P&amp;L_Feb_2026" sheetId="4" r:id="rId4"/>
  </sheets>
  <definedNames>
    <definedName name="Actual_Sales">Drivers!$B$7</definedName>
    <definedName name="Actual_Sales_Dec25">Drivers!$B$9</definedName>
    <definedName name="Actual_Sales_Jan26">Drivers!$B$10</definedName>
    <definedName name="Base_Bean_Cost_per_kg">Drivers!$B$21</definedName>
    <definedName name="Base_COGS_PreMacro_Feb">Drivers!$B$27</definedName>
    <definedName name="Base_COGS_Rate">Drivers!$B$26</definedName>
    <definedName name="Base_Growth">Drivers!$B$14</definedName>
    <definedName name="Bean_Cost_per_kg_Feb">Drivers!$B$22</definedName>
    <definedName name="COGS_Translation">Drivers!$B$19</definedName>
    <definedName name="Competitor_Drag">Drivers!$B$16</definedName>
    <definedName name="Competitor_Inputs">Inputs!$B$8</definedName>
    <definedName name="Competitor_Price_Gap" localSheetId="0">Inputs!$B$10</definedName>
    <definedName name="Competitor_Price_Gap">Inputs!$B$10</definedName>
    <definedName name="Growth_Translation">Drivers!$B$12</definedName>
    <definedName name="Macro_Inputs">Inputs!$B$12</definedName>
    <definedName name="Macro_Surcharge_Feb" localSheetId="0">Inputs!$B$14</definedName>
    <definedName name="Macro_Surcharge_Feb">Inputs!$B$14</definedName>
    <definedName name="Price_Cappuccino">Drivers!$B$3</definedName>
    <definedName name="Price_Espresso">Drivers!$B$4</definedName>
    <definedName name="Price_Mocha">Drivers!$B$5</definedName>
    <definedName name="Revenue_Growth_Feb">Drivers!$B$17</definedName>
    <definedName name="Sentiment_Adjustment_Factor_Feb">Inputs!$B$6</definedName>
    <definedName name="Sentiment_Adjustment_Feb">Drivers!$B$15</definedName>
    <definedName name="Sentiment_Dec25">Inputs!$B$3</definedName>
    <definedName name="Sentiment_Inputs">Inputs!$B$1</definedName>
    <definedName name="Sentiment_Jan26">Inputs!$B$4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B16" i="2"/>
  <c r="B15" i="2"/>
  <c r="B17" i="2" s="1"/>
  <c r="B3" i="3" l="1"/>
  <c r="B3" i="4" s="1"/>
  <c r="B27" i="2"/>
  <c r="B5" i="3" s="1"/>
  <c r="B4" i="4" s="1"/>
  <c r="B6" i="4" l="1"/>
</calcChain>
</file>

<file path=xl/sharedStrings.xml><?xml version="1.0" encoding="utf-8"?>
<sst xmlns="http://schemas.openxmlformats.org/spreadsheetml/2006/main" count="34" uniqueCount="34">
  <si>
    <t>Core Prices</t>
  </si>
  <si>
    <t>Price_Cappuccino</t>
  </si>
  <si>
    <t>Price_Espresso</t>
  </si>
  <si>
    <t>Price_Mocha</t>
  </si>
  <si>
    <t>Actual Sales</t>
  </si>
  <si>
    <t>Actual_Sales_Dec25</t>
  </si>
  <si>
    <t>Actual_Sales_Jan26</t>
  </si>
  <si>
    <t>Growth Translation</t>
  </si>
  <si>
    <t>Base_Growth</t>
  </si>
  <si>
    <t>Sentiment_Adjustment_Feb</t>
  </si>
  <si>
    <t>Competitor_Drag</t>
  </si>
  <si>
    <t>Revenue_Growth_Feb</t>
  </si>
  <si>
    <t>COGS Translation</t>
  </si>
  <si>
    <t>Base_Bean_Cost_per_kg</t>
  </si>
  <si>
    <t>Bean_Cost_per_kg_Feb</t>
  </si>
  <si>
    <t>COGS Anchors</t>
  </si>
  <si>
    <t>Base_COGS_Rate</t>
  </si>
  <si>
    <t>Base_COGS_PreMacro_Feb</t>
  </si>
  <si>
    <t>Sentiment Inputs</t>
  </si>
  <si>
    <t>Sentiment_Dec25</t>
  </si>
  <si>
    <t>Sentiment_Jan26</t>
  </si>
  <si>
    <t>Sentiment_Adjustment_Factor_Feb</t>
  </si>
  <si>
    <t>Competitor Inputs</t>
  </si>
  <si>
    <t>Competitor_Price_Gap</t>
  </si>
  <si>
    <t>Macro Inputs</t>
  </si>
  <si>
    <t>Macro_Surcharge_Feb</t>
  </si>
  <si>
    <t>Revenue Engine</t>
  </si>
  <si>
    <t>Projected_Revenue_Feb</t>
  </si>
  <si>
    <t>Projected_COGS_Feb</t>
  </si>
  <si>
    <t>Profit &amp; Loss (For the month February 2026)</t>
  </si>
  <si>
    <t>Revenue</t>
  </si>
  <si>
    <t>COGS</t>
  </si>
  <si>
    <t>Net_Income</t>
  </si>
  <si>
    <t>Note: Base COGS is anchored to revenue using Base_COGS_Rate. Macro surcharge uplifts bean-related costs via the bean cost index.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</si>
</sst>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44" fontId="0" fillId="0" borderId="0" xfId="1" applyFont="1"/>
    <xf numFmtId="9" fontId="0" fillId="0" borderId="0" xfId="2" applyFon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3" borderId="1" xfId="0" applyFill="1" applyBorder="1"/>
    <xf numFmtId="44" fontId="0" fillId="3" borderId="1" xfId="1" applyFont="1" applyFill="1" applyBorder="1"/>
    <xf numFmtId="0" fontId="0" fillId="4" borderId="0" xfId="0" applyFill="1" applyAlignment="1">
      <alignment wrapText="1"/>
    </xf>
    <xf numFmtId="44" fontId="0" fillId="4" borderId="0" xfId="1" applyFont="1" applyFill="1"/>
    <xf numFmtId="0" fontId="0" fillId="5" borderId="0" xfId="0" applyFill="1" applyAlignment="1">
      <alignment wrapText="1"/>
    </xf>
    <xf numFmtId="44" fontId="0" fillId="5" borderId="0" xfId="1" applyFont="1" applyFill="1"/>
    <xf numFmtId="0" fontId="0" fillId="5" borderId="0" xfId="0" applyFill="1"/>
    <xf numFmtId="9" fontId="0" fillId="5" borderId="0" xfId="2" applyFont="1" applyFill="1"/>
    <xf numFmtId="44" fontId="1" fillId="5" borderId="0" xfId="1" applyFill="1"/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="140" zoomScaleNormal="140" workbookViewId="0">
      <selection activeCell="D16" sqref="D16"/>
    </sheetView>
  </sheetViews>
  <sheetFormatPr defaultRowHeight="14.4" x14ac:dyDescent="0.3"/>
  <cols>
    <col min="1" max="1" width="32.109375" customWidth="1"/>
  </cols>
  <sheetData>
    <row r="1" spans="1:2" x14ac:dyDescent="0.3">
      <c r="A1" s="5" t="s">
        <v>18</v>
      </c>
      <c r="B1" s="6"/>
    </row>
    <row r="3" spans="1:2" x14ac:dyDescent="0.3">
      <c r="A3" t="s">
        <v>19</v>
      </c>
      <c r="B3">
        <v>0.34599999999999997</v>
      </c>
    </row>
    <row r="4" spans="1:2" x14ac:dyDescent="0.3">
      <c r="A4" t="s">
        <v>20</v>
      </c>
      <c r="B4">
        <v>0.37</v>
      </c>
    </row>
    <row r="6" spans="1:2" x14ac:dyDescent="0.3">
      <c r="A6" t="s">
        <v>21</v>
      </c>
      <c r="B6">
        <v>1.012</v>
      </c>
    </row>
    <row r="8" spans="1:2" x14ac:dyDescent="0.3">
      <c r="A8" s="5" t="s">
        <v>22</v>
      </c>
      <c r="B8" s="6"/>
    </row>
    <row r="10" spans="1:2" x14ac:dyDescent="0.3">
      <c r="A10" t="s">
        <v>23</v>
      </c>
      <c r="B10" s="3">
        <v>-0.1</v>
      </c>
    </row>
    <row r="12" spans="1:2" x14ac:dyDescent="0.3">
      <c r="A12" s="5" t="s">
        <v>24</v>
      </c>
      <c r="B12" s="6"/>
    </row>
    <row r="14" spans="1:2" x14ac:dyDescent="0.3">
      <c r="A14" t="s">
        <v>25</v>
      </c>
      <c r="B14" s="2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topLeftCell="A7" zoomScale="107" zoomScaleNormal="107" workbookViewId="0">
      <selection activeCell="C24" sqref="C24"/>
    </sheetView>
  </sheetViews>
  <sheetFormatPr defaultRowHeight="14.4" x14ac:dyDescent="0.3"/>
  <cols>
    <col min="1" max="1" width="25.6640625" customWidth="1"/>
    <col min="2" max="2" width="11.44140625" bestFit="1" customWidth="1"/>
  </cols>
  <sheetData>
    <row r="1" spans="1:2" x14ac:dyDescent="0.3">
      <c r="A1" s="4" t="s">
        <v>0</v>
      </c>
    </row>
    <row r="3" spans="1:2" x14ac:dyDescent="0.3">
      <c r="A3" t="s">
        <v>1</v>
      </c>
      <c r="B3" s="2">
        <v>3.5</v>
      </c>
    </row>
    <row r="4" spans="1:2" x14ac:dyDescent="0.3">
      <c r="A4" t="s">
        <v>2</v>
      </c>
      <c r="B4" s="2">
        <v>3.25</v>
      </c>
    </row>
    <row r="5" spans="1:2" x14ac:dyDescent="0.3">
      <c r="A5" t="s">
        <v>3</v>
      </c>
      <c r="B5" s="2">
        <v>3.45</v>
      </c>
    </row>
    <row r="6" spans="1:2" x14ac:dyDescent="0.3">
      <c r="B6" s="2"/>
    </row>
    <row r="7" spans="1:2" x14ac:dyDescent="0.3">
      <c r="A7" s="4" t="s">
        <v>4</v>
      </c>
      <c r="B7" s="2"/>
    </row>
    <row r="8" spans="1:2" x14ac:dyDescent="0.3">
      <c r="B8" s="2"/>
    </row>
    <row r="9" spans="1:2" x14ac:dyDescent="0.3">
      <c r="A9" t="s">
        <v>5</v>
      </c>
      <c r="B9" s="2">
        <v>18500</v>
      </c>
    </row>
    <row r="10" spans="1:2" x14ac:dyDescent="0.3">
      <c r="A10" t="s">
        <v>6</v>
      </c>
      <c r="B10" s="2">
        <v>19650</v>
      </c>
    </row>
    <row r="12" spans="1:2" x14ac:dyDescent="0.3">
      <c r="A12" s="4" t="s">
        <v>7</v>
      </c>
    </row>
    <row r="14" spans="1:2" x14ac:dyDescent="0.3">
      <c r="A14" t="s">
        <v>8</v>
      </c>
      <c r="B14" s="3">
        <v>0.05</v>
      </c>
    </row>
    <row r="15" spans="1:2" x14ac:dyDescent="0.3">
      <c r="A15" t="s">
        <v>9</v>
      </c>
      <c r="B15">
        <f>Sentiment_Adjustment_Factor_Feb-1</f>
        <v>1.2000000000000011E-2</v>
      </c>
    </row>
    <row r="16" spans="1:2" x14ac:dyDescent="0.3">
      <c r="A16" t="s">
        <v>10</v>
      </c>
      <c r="B16" s="3">
        <f>Competitor_Price_Gap*0.5</f>
        <v>-0.05</v>
      </c>
    </row>
    <row r="17" spans="1:3" x14ac:dyDescent="0.3">
      <c r="A17" s="13" t="s">
        <v>11</v>
      </c>
      <c r="B17" s="14">
        <f>B14+B15+B16</f>
        <v>1.2000000000000011E-2</v>
      </c>
      <c r="C17" s="3"/>
    </row>
    <row r="19" spans="1:3" x14ac:dyDescent="0.3">
      <c r="A19" s="4" t="s">
        <v>12</v>
      </c>
    </row>
    <row r="21" spans="1:3" x14ac:dyDescent="0.3">
      <c r="A21" t="s">
        <v>13</v>
      </c>
      <c r="B21" s="2">
        <v>12</v>
      </c>
    </row>
    <row r="22" spans="1:3" x14ac:dyDescent="0.3">
      <c r="A22" s="13" t="s">
        <v>14</v>
      </c>
      <c r="B22" s="12">
        <f>B21*(1+Macro_Surcharge_Feb)</f>
        <v>13.799999999999999</v>
      </c>
    </row>
    <row r="24" spans="1:3" x14ac:dyDescent="0.3">
      <c r="A24" s="4" t="s">
        <v>15</v>
      </c>
    </row>
    <row r="26" spans="1:3" x14ac:dyDescent="0.3">
      <c r="A26" t="s">
        <v>16</v>
      </c>
      <c r="B26">
        <v>0.25140000000000001</v>
      </c>
    </row>
    <row r="27" spans="1:3" x14ac:dyDescent="0.3">
      <c r="A27" s="13" t="s">
        <v>17</v>
      </c>
      <c r="B27" s="15">
        <f>Actual_Sales_Jan26*(1+Revenue_Growth_Feb)*Base_COGS_Rate</f>
        <v>4999.2901199999997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="140" zoomScaleNormal="140" workbookViewId="0">
      <selection activeCell="B5" sqref="B5"/>
    </sheetView>
  </sheetViews>
  <sheetFormatPr defaultRowHeight="14.4" x14ac:dyDescent="0.3"/>
  <cols>
    <col min="1" max="1" width="24.44140625" customWidth="1"/>
    <col min="2" max="2" width="17.88671875" customWidth="1"/>
  </cols>
  <sheetData>
    <row r="1" spans="1:2" x14ac:dyDescent="0.3">
      <c r="A1" s="5" t="s">
        <v>26</v>
      </c>
      <c r="B1" s="6"/>
    </row>
    <row r="3" spans="1:2" x14ac:dyDescent="0.3">
      <c r="A3" s="9" t="s">
        <v>27</v>
      </c>
      <c r="B3" s="10">
        <f>Actual_Sales_Jan26*(1+Revenue_Growth_Feb)</f>
        <v>19885.8</v>
      </c>
    </row>
    <row r="4" spans="1:2" x14ac:dyDescent="0.3">
      <c r="A4" s="1"/>
      <c r="B4" s="2"/>
    </row>
    <row r="5" spans="1:2" x14ac:dyDescent="0.3">
      <c r="A5" s="11" t="s">
        <v>28</v>
      </c>
      <c r="B5" s="12">
        <f>Base_COGS_PreMacro_Feb*(Bean_Cost_per_kg_Feb/Base_Bean_Cost_per_kg)</f>
        <v>5749.1836379999995</v>
      </c>
    </row>
    <row r="7" spans="1:2" ht="86.4" customHeight="1" x14ac:dyDescent="0.3">
      <c r="A7" s="17" t="s">
        <v>33</v>
      </c>
      <c r="B7" s="16"/>
    </row>
    <row r="8" spans="1:2" x14ac:dyDescent="0.3">
      <c r="A8" s="1"/>
      <c r="B8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="140" zoomScaleNormal="140" workbookViewId="0">
      <selection activeCell="A19" sqref="A19"/>
    </sheetView>
  </sheetViews>
  <sheetFormatPr defaultRowHeight="14.4" x14ac:dyDescent="0.3"/>
  <cols>
    <col min="1" max="1" width="27.88671875" customWidth="1"/>
    <col min="2" max="2" width="14.44140625" customWidth="1"/>
  </cols>
  <sheetData>
    <row r="1" spans="1:2" x14ac:dyDescent="0.3">
      <c r="A1" s="5" t="s">
        <v>29</v>
      </c>
      <c r="B1" s="5"/>
    </row>
    <row r="3" spans="1:2" x14ac:dyDescent="0.3">
      <c r="A3" t="s">
        <v>30</v>
      </c>
      <c r="B3" s="2">
        <f>Calc_Revenue!B3</f>
        <v>19885.8</v>
      </c>
    </row>
    <row r="4" spans="1:2" x14ac:dyDescent="0.3">
      <c r="A4" t="s">
        <v>31</v>
      </c>
      <c r="B4" s="2">
        <f>Calc_Revenue!B5</f>
        <v>5749.1836379999995</v>
      </c>
    </row>
    <row r="5" spans="1:2" x14ac:dyDescent="0.3">
      <c r="B5" s="2"/>
    </row>
    <row r="6" spans="1:2" ht="15" customHeight="1" thickBot="1" x14ac:dyDescent="0.35">
      <c r="A6" s="7" t="s">
        <v>32</v>
      </c>
      <c r="B6" s="8">
        <f>B3-B4</f>
        <v>14136.616362000001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26</vt:i4>
      </vt:variant>
    </vt:vector>
  </HeadingPairs>
  <TitlesOfParts>
    <vt:vector size="30" baseType="lpstr">
      <vt:lpstr>Inputs</vt:lpstr>
      <vt:lpstr>Drivers</vt:lpstr>
      <vt:lpstr>Calc_Revenue</vt:lpstr>
      <vt:lpstr>P&amp;L_Feb_2026</vt:lpstr>
      <vt:lpstr>Actual_Sales</vt:lpstr>
      <vt:lpstr>Actual_Sales_Dec25</vt:lpstr>
      <vt:lpstr>Actual_Sales_Jan26</vt:lpstr>
      <vt:lpstr>Base_Bean_Cost_per_kg</vt:lpstr>
      <vt:lpstr>Base_COGS_PreMacro_Feb</vt:lpstr>
      <vt:lpstr>Base_COGS_Rate</vt:lpstr>
      <vt:lpstr>Base_Growth</vt:lpstr>
      <vt:lpstr>Bean_Cost_per_kg_Feb</vt:lpstr>
      <vt:lpstr>COGS_Translation</vt:lpstr>
      <vt:lpstr>Competitor_Drag</vt:lpstr>
      <vt:lpstr>Competitor_Inputs</vt:lpstr>
      <vt:lpstr>Inputs!Competitor_Price_Gap</vt:lpstr>
      <vt:lpstr>Competitor_Price_Gap</vt:lpstr>
      <vt:lpstr>Growth_Translation</vt:lpstr>
      <vt:lpstr>Macro_Inputs</vt:lpstr>
      <vt:lpstr>Inputs!Macro_Surcharge_Feb</vt:lpstr>
      <vt:lpstr>Macro_Surcharge_Feb</vt:lpstr>
      <vt:lpstr>Price_Cappuccino</vt:lpstr>
      <vt:lpstr>Price_Espresso</vt:lpstr>
      <vt:lpstr>Price_Mocha</vt:lpstr>
      <vt:lpstr>Revenue_Growth_Feb</vt:lpstr>
      <vt:lpstr>Sentiment_Adjustment_Factor_Feb</vt:lpstr>
      <vt:lpstr>Sentiment_Adjustment_Feb</vt:lpstr>
      <vt:lpstr>Sentiment_Dec25</vt:lpstr>
      <vt:lpstr>Sentiment_Inputs</vt:lpstr>
      <vt:lpstr>Sentiment_Jan26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Ayesha Younis</cp:lastModifiedBy>
  <dcterms:created xsi:type="dcterms:W3CDTF">2026-02-10T11:01:11Z</dcterms:created>
  <dcterms:modified xsi:type="dcterms:W3CDTF">2026-02-10T20:04:48Z</dcterms:modified>
</cp:coreProperties>
</file>