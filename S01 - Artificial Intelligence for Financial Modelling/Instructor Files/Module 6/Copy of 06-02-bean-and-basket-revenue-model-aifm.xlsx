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6 work files\"/>
    </mc:Choice>
  </mc:AlternateContent>
  <xr:revisionPtr revIDLastSave="0" documentId="13_ncr:1_{1D1200AA-A356-4A3D-A12A-36844C8567EC}" xr6:coauthVersionLast="47" xr6:coauthVersionMax="47" xr10:uidLastSave="{00000000-0000-0000-0000-000000000000}"/>
  <bookViews>
    <workbookView xWindow="972" yWindow="324" windowWidth="22068" windowHeight="12636" activeTab="2" xr2:uid="{00000000-000D-0000-FFFF-FFFF00000000}"/>
  </bookViews>
  <sheets>
    <sheet name="Input" sheetId="4" r:id="rId1"/>
    <sheet name="Drivers" sheetId="1" r:id="rId2"/>
    <sheet name="Calculation" sheetId="2" r:id="rId3"/>
  </sheets>
  <definedNames>
    <definedName name="Actual_Sales_Dec">Drivers!$B$5</definedName>
    <definedName name="Actual_Sales_Dec25">Drivers!$B$5</definedName>
    <definedName name="Actual_Sales_Jan">Drivers!$B$6</definedName>
    <definedName name="Actual_Sales_Jan26">Drivers!$B$6</definedName>
    <definedName name="Price_Cappuccino">Drivers!$B$2</definedName>
    <definedName name="Price_Espresso">Drivers!$B$3</definedName>
    <definedName name="Price_Mocha">Drivers!$B$4</definedName>
    <definedName name="Sentiment_adjustment_factor_SAF">Input!$B$4</definedName>
    <definedName name="Sentiment_analysis_factor">Drivers!$B$8</definedName>
    <definedName name="Sentiment_analysis_factor_feb26">Drivers!$B$8</definedName>
    <definedName name="Sentiment_analysis_factor_SAF">Drivers!$B$8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2" i="2"/>
  <c r="B3" i="2" s="1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<sst xmlns="http://schemas.openxmlformats.org/spreadsheetml/2006/main" count="14" uniqueCount="14">
  <si>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Driver</t>
  </si>
  <si>
    <t>Value</t>
  </si>
  <si>
    <t>Price_Cappuccino</t>
  </si>
  <si>
    <t>Price_Espresso</t>
  </si>
  <si>
    <t>Price_Mocha</t>
  </si>
  <si>
    <t>Description</t>
  </si>
  <si>
    <t>Amount</t>
  </si>
  <si>
    <t>Month-over-Month Growth Rate</t>
  </si>
  <si>
    <t>Actual_Sales_Dec25</t>
  </si>
  <si>
    <t>Actual_Sales_Jan26</t>
  </si>
  <si>
    <t>Projected Sales February 2026</t>
  </si>
  <si>
    <t>Projected Sales February 2026 with sentiment analysis</t>
  </si>
  <si>
    <t>Sentiment analysis adjustment</t>
  </si>
  <si>
    <t>Sentiment_adjustment_factor_SAF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</si>
</sst>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0" fontId="0" fillId="0" borderId="0" xfId="2" applyNumberFormat="1" applyFont="1"/>
    <xf numFmtId="44" fontId="0" fillId="0" borderId="0" xfId="1" applyFont="1"/>
    <xf numFmtId="164" fontId="0" fillId="0" borderId="0" xfId="1" applyNumberFormat="1" applyFont="1"/>
    <xf numFmtId="2" fontId="0" fillId="0" borderId="0" xfId="1" applyNumberFormat="1" applyFont="1"/>
    <xf numFmtId="0" fontId="0" fillId="0" borderId="0" xfId="0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097EC-F247-4B0F-8407-404945659CEC}">
  <dimension ref="A2:B4"/>
  <sheetViews>
    <sheetView zoomScale="131" zoomScaleNormal="131" workbookViewId="0">
      <selection activeCell="B4" sqref="B4"/>
    </sheetView>
  </sheetViews>
  <sheetFormatPr defaultRowHeight="14.4" x14ac:dyDescent="0.3"/>
  <cols>
    <col min="1" max="1" width="30.44140625" bestFit="1" customWidth="1"/>
  </cols>
  <sheetData>
    <row r="2" spans="1:2" x14ac:dyDescent="0.3">
      <c r="A2" t="s">
        <v>12</v>
      </c>
    </row>
    <row r="4" spans="1:2" x14ac:dyDescent="0.3">
      <c r="A4" t="s">
        <v>13</v>
      </c>
      <c r="B4">
        <v>1.012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31" zoomScaleNormal="131" workbookViewId="0">
      <selection activeCell="B11" sqref="B11"/>
    </sheetView>
  </sheetViews>
  <sheetFormatPr defaultRowHeight="14.4" x14ac:dyDescent="0.3"/>
  <cols>
    <col min="1" max="1" width="24.77734375" customWidth="1"/>
    <col min="2" max="2" width="12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3">
        <v>3.5</v>
      </c>
    </row>
    <row r="3" spans="1:2" x14ac:dyDescent="0.3">
      <c r="A3" t="s">
        <v>3</v>
      </c>
      <c r="B3" s="3">
        <v>3.25</v>
      </c>
    </row>
    <row r="4" spans="1:2" x14ac:dyDescent="0.3">
      <c r="A4" t="s">
        <v>4</v>
      </c>
      <c r="B4" s="3">
        <v>3.45</v>
      </c>
    </row>
    <row r="5" spans="1:2" x14ac:dyDescent="0.3">
      <c r="A5" t="s">
        <v>8</v>
      </c>
      <c r="B5" s="3">
        <v>18500</v>
      </c>
    </row>
    <row r="6" spans="1:2" x14ac:dyDescent="0.3">
      <c r="A6" t="s">
        <v>9</v>
      </c>
      <c r="B6" s="3">
        <v>19650</v>
      </c>
    </row>
    <row r="8" spans="1:2" x14ac:dyDescent="0.3">
      <c r="B8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zoomScale="131" zoomScaleNormal="131" workbookViewId="0">
      <selection activeCell="B5" sqref="B5"/>
    </sheetView>
  </sheetViews>
  <sheetFormatPr defaultRowHeight="14.4" x14ac:dyDescent="0.3"/>
  <cols>
    <col min="1" max="1" width="28.88671875" customWidth="1"/>
    <col min="2" max="2" width="11.33203125" bestFit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7</v>
      </c>
      <c r="B2" s="2">
        <f>(Actual_Sales_Jan26-Actual_Sales_Dec25)/Actual_Sales_Dec25</f>
        <v>6.2162162162162166E-2</v>
      </c>
    </row>
    <row r="3" spans="1:2" x14ac:dyDescent="0.3">
      <c r="A3" t="s">
        <v>10</v>
      </c>
      <c r="B3" s="4" cm="1">
        <f t="array" ref="B3">Actual_Sales_Jan26*(1+B2)</f>
        <v>20871.486486486487</v>
      </c>
    </row>
    <row r="5" spans="1:2" ht="28.8" x14ac:dyDescent="0.3">
      <c r="A5" s="6" t="s">
        <v>11</v>
      </c>
      <c r="B5" s="3">
        <f>Actual_Sales_Jan26*(1+B2)*Sentiment_adjustment_factor_SAF</f>
        <v>21121.944324324326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Input</vt:lpstr>
      <vt:lpstr>Drivers</vt:lpstr>
      <vt:lpstr>Calculation</vt:lpstr>
      <vt:lpstr>Actual_Sales_Dec</vt:lpstr>
      <vt:lpstr>Actual_Sales_Dec25</vt:lpstr>
      <vt:lpstr>Actual_Sales_Jan</vt:lpstr>
      <vt:lpstr>Actual_Sales_Jan26</vt:lpstr>
      <vt:lpstr>Price_Cappuccino</vt:lpstr>
      <vt:lpstr>Price_Espresso</vt:lpstr>
      <vt:lpstr>Price_Mocha</vt:lpstr>
      <vt:lpstr>Sentiment_adjustment_factor_SAF</vt:lpstr>
      <vt:lpstr>Sentiment_analysis_factor</vt:lpstr>
      <vt:lpstr>Sentiment_analysis_factor_feb26</vt:lpstr>
      <vt:lpstr>Sentiment_analysis_factor_SAF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Younis</cp:lastModifiedBy>
  <dcterms:created xsi:type="dcterms:W3CDTF">2026-02-09T15:44:42Z</dcterms:created>
  <dcterms:modified xsi:type="dcterms:W3CDTF">2026-02-10T19:49:04Z</dcterms:modified>
</cp:coreProperties>
</file>