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3 work files\"/>
    </mc:Choice>
  </mc:AlternateContent>
  <xr:revisionPtr revIDLastSave="0" documentId="8_{B73D1ACA-B4A1-4412-B411-4FD97EB47AAF}" xr6:coauthVersionLast="47" xr6:coauthVersionMax="47" xr10:uidLastSave="{00000000-0000-0000-0000-000000000000}"/>
  <bookViews>
    <workbookView xWindow="1068" yWindow="144" windowWidth="22056" windowHeight="12960" activeTab="2" xr2:uid="{17C839AB-C3C1-493B-8353-A6ED15462752}"/>
  </bookViews>
  <sheets>
    <sheet name="Drivers" sheetId="4" r:id="rId1"/>
    <sheet name="Calculations" sheetId="5" r:id="rId2"/>
    <sheet name="Scenarios" sheetId="8" r:id="rId3"/>
  </sheets>
  <definedNames>
    <definedName name="Barista_hourly_rate">#REF!</definedName>
    <definedName name="Business_Tax">#REF!</definedName>
    <definedName name="Cappuccino">#REF!</definedName>
    <definedName name="Cappuccino_daily_volume">#REF!</definedName>
    <definedName name="Cappuccino_Regular_Price">#REF!</definedName>
    <definedName name="Club_Sandwich_base_daily_volume">Drivers!$B$10</definedName>
    <definedName name="Club_Sandwich_daily_volume">Drivers!$B$10</definedName>
    <definedName name="Club_Sandwich_downside_daily_volume">Drivers!$D$10</definedName>
    <definedName name="Club_Sandwich_price">Drivers!$B$4</definedName>
    <definedName name="Club_Sandwich_upside_daily_volume">Drivers!$C$10</definedName>
    <definedName name="Cookies_base_daily_volume">Drivers!$B$11</definedName>
    <definedName name="Cookies_daily_volume">Drivers!$B$11</definedName>
    <definedName name="Cookies_downside_daily_volume">Drivers!$D$11</definedName>
    <definedName name="Cookies_price">Drivers!$B$5</definedName>
    <definedName name="Cookies_upside_daily_volume">Drivers!$C$11</definedName>
    <definedName name="Cost_of_regular_paper_cup">#REF!</definedName>
    <definedName name="Cost_per_1_kg_Bean_Bag">#REF!</definedName>
    <definedName name="Cost_per_1_kg_Sugar_Bag">#REF!</definedName>
    <definedName name="Cost_per_1_Litre_milk">#REF!</definedName>
    <definedName name="Croissant_base_daily_volume">Drivers!$B$9</definedName>
    <definedName name="Croissant_daily_volume">Drivers!$B$9</definedName>
    <definedName name="Croissant_downside_daily_volume">Drivers!$D$9</definedName>
    <definedName name="Croissant_price">Drivers!$B$3</definedName>
    <definedName name="Croissant_upside_daily_volume">Drivers!$C$9</definedName>
    <definedName name="Croissants_base_daily_volume">Drivers!$B$9</definedName>
    <definedName name="Croissants_downside_daily_volume">Drivers!$D$9</definedName>
    <definedName name="Croissants_upside_daily_volume">Drivers!$C$9</definedName>
    <definedName name="Daily_Sales_Volume">Drivers!$B$7</definedName>
    <definedName name="Donut_price">Drivers!$B$2</definedName>
    <definedName name="Donuts_base_daily_volume">Drivers!$B$8</definedName>
    <definedName name="Donuts_daily_volume">Drivers!$B$8</definedName>
    <definedName name="donuts_downside_daily_volume">Drivers!$D$8</definedName>
    <definedName name="Donuts_upside_daily_volume">Drivers!$C$8</definedName>
    <definedName name="Espresso">#REF!</definedName>
    <definedName name="Espresso_daily_volume">#REF!</definedName>
    <definedName name="Expresso_Regular_Price">#REF!</definedName>
    <definedName name="Mocha">#REF!</definedName>
    <definedName name="Mocha_daily_volume">#REF!</definedName>
    <definedName name="Mocha_Regular_Price">#REF!</definedName>
    <definedName name="Price">Drivers!$B$1</definedName>
    <definedName name="Sales_Tax">Drivers!$B$13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8" l="1"/>
  <c r="C2" i="8"/>
  <c r="D2" i="8"/>
  <c r="B3" i="8" a="1"/>
  <c r="B3" i="8" s="1"/>
  <c r="C3" i="8" a="1"/>
  <c r="C3" i="8" s="1"/>
  <c r="D3" i="8" a="1"/>
  <c r="D3" i="8" s="1"/>
  <c r="B4" i="8"/>
  <c r="C4" i="8"/>
  <c r="D4" i="8"/>
  <c r="B5" i="8"/>
  <c r="C5" i="8"/>
  <c r="D5" i="8"/>
  <c r="B3" i="5"/>
  <c r="B6" i="5"/>
  <c r="B5" i="5"/>
  <c r="B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<sst xmlns="http://schemas.openxmlformats.org/spreadsheetml/2006/main" count="27" uniqueCount="27">
  <si>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Sales Tax</t>
  </si>
  <si>
    <t>Price</t>
  </si>
  <si>
    <t>Base case</t>
  </si>
  <si>
    <t>Daily Sales Volume</t>
  </si>
  <si>
    <t>Croissant price</t>
  </si>
  <si>
    <t>Donut price</t>
  </si>
  <si>
    <t>Club Sandwich price</t>
  </si>
  <si>
    <t>Cookies price</t>
  </si>
  <si>
    <t>Donuts daily volume</t>
  </si>
  <si>
    <t>Croissant daily volume</t>
  </si>
  <si>
    <t>Club Sandwich daily volume</t>
  </si>
  <si>
    <t>Cookies daily volume</t>
  </si>
  <si>
    <t>Daily Revenue</t>
  </si>
  <si>
    <t xml:space="preserve">Donut </t>
  </si>
  <si>
    <t xml:space="preserve">Croissant </t>
  </si>
  <si>
    <t xml:space="preserve">Club Sandwich </t>
  </si>
  <si>
    <t xml:space="preserve">Cookies </t>
  </si>
  <si>
    <t>Upside case</t>
  </si>
  <si>
    <t>Downside case</t>
  </si>
  <si>
    <t>Product</t>
  </si>
  <si>
    <t>Base Case Formula</t>
  </si>
  <si>
    <t>Upside Case Formula</t>
  </si>
  <si>
    <t>Downside Case Formula</t>
  </si>
  <si>
    <t>Donuts</t>
  </si>
  <si>
    <t>Croissants</t>
  </si>
  <si>
    <t>Club Sandwich</t>
  </si>
  <si>
    <t>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</si>
</sst>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4" fontId="0" fillId="0" borderId="0" xfId="1" applyFont="1"/>
    <xf numFmtId="9" fontId="2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Daily Sales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Scenarios!$A$2</c:f>
              <c:strCache>
                <c:ptCount val="1"/>
                <c:pt idx="0">
                  <c:v>Donuts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Scenarios!$B$1:$D$1</c:f>
              <c:strCache>
                <c:ptCount val="3"/>
                <c:pt idx="0">
                  <c:v>Base Case Formula</c:v>
                </c:pt>
                <c:pt idx="1">
                  <c:v>Upside Case Formula</c:v>
                </c:pt>
                <c:pt idx="2">
                  <c:v>Downside Case Formula</c:v>
                </c:pt>
              </c:strCache>
            </c:strRef>
          </c:cat>
          <c:val>
            <c:numRef>
              <c:f>Scenarios!$B$2:$D$2</c:f>
              <c:numCache>
                <c:formatCode>General</c:formatCode>
                <c:ptCount val="3"/>
                <c:pt idx="0">
                  <c:v>157.5</c:v>
                </c:pt>
                <c:pt idx="1">
                  <c:v>185.5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D-4BE3-BBC3-68F4452736F3}"/>
            </c:ext>
          </c:extLst>
        </c:ser>
        <c:ser>
          <c:idx val="1"/>
          <c:order val="1"/>
          <c:tx>
            <c:strRef>
              <c:f>Scenarios!$A$3</c:f>
              <c:strCache>
                <c:ptCount val="1"/>
                <c:pt idx="0">
                  <c:v>Croissants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Scenarios!$B$1:$D$1</c:f>
              <c:strCache>
                <c:ptCount val="3"/>
                <c:pt idx="0">
                  <c:v>Base Case Formula</c:v>
                </c:pt>
                <c:pt idx="1">
                  <c:v>Upside Case Formula</c:v>
                </c:pt>
                <c:pt idx="2">
                  <c:v>Downside Case Formula</c:v>
                </c:pt>
              </c:strCache>
            </c:strRef>
          </c:cat>
          <c:val>
            <c:numRef>
              <c:f>Scenarios!$B$3:$D$3</c:f>
              <c:numCache>
                <c:formatCode>General</c:formatCode>
                <c:ptCount val="3"/>
                <c:pt idx="0">
                  <c:v>188.5</c:v>
                </c:pt>
                <c:pt idx="1">
                  <c:v>221</c:v>
                </c:pt>
                <c:pt idx="2">
                  <c:v>159.25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7D-4BE3-BBC3-68F4452736F3}"/>
            </c:ext>
          </c:extLst>
        </c:ser>
        <c:ser>
          <c:idx val="2"/>
          <c:order val="2"/>
          <c:tx>
            <c:strRef>
              <c:f>Scenarios!$A$4</c:f>
              <c:strCache>
                <c:ptCount val="1"/>
                <c:pt idx="0">
                  <c:v>Club Sandwich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Scenarios!$B$1:$D$1</c:f>
              <c:strCache>
                <c:ptCount val="3"/>
                <c:pt idx="0">
                  <c:v>Base Case Formula</c:v>
                </c:pt>
                <c:pt idx="1">
                  <c:v>Upside Case Formula</c:v>
                </c:pt>
                <c:pt idx="2">
                  <c:v>Downside Case Formula</c:v>
                </c:pt>
              </c:strCache>
            </c:strRef>
          </c:cat>
          <c:val>
            <c:numRef>
              <c:f>Scenarios!$B$4:$D$4</c:f>
              <c:numCache>
                <c:formatCode>General</c:formatCode>
                <c:ptCount val="3"/>
                <c:pt idx="0">
                  <c:v>182.85000000000002</c:v>
                </c:pt>
                <c:pt idx="1">
                  <c:v>217.35000000000002</c:v>
                </c:pt>
                <c:pt idx="2">
                  <c:v>155.25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7D-4BE3-BBC3-68F4452736F3}"/>
            </c:ext>
          </c:extLst>
        </c:ser>
        <c:ser>
          <c:idx val="3"/>
          <c:order val="3"/>
          <c:tx>
            <c:strRef>
              <c:f>Scenarios!$A$5</c:f>
              <c:strCache>
                <c:ptCount val="1"/>
                <c:pt idx="0">
                  <c:v>Cookies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Scenarios!$B$1:$D$1</c:f>
              <c:strCache>
                <c:ptCount val="3"/>
                <c:pt idx="0">
                  <c:v>Base Case Formula</c:v>
                </c:pt>
                <c:pt idx="1">
                  <c:v>Upside Case Formula</c:v>
                </c:pt>
                <c:pt idx="2">
                  <c:v>Downside Case Formula</c:v>
                </c:pt>
              </c:strCache>
            </c:strRef>
          </c:cat>
          <c:val>
            <c:numRef>
              <c:f>Scenarios!$B$5:$D$5</c:f>
              <c:numCache>
                <c:formatCode>General</c:formatCode>
                <c:ptCount val="3"/>
                <c:pt idx="0">
                  <c:v>90</c:v>
                </c:pt>
                <c:pt idx="1">
                  <c:v>106.5</c:v>
                </c:pt>
                <c:pt idx="2">
                  <c:v>76.5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7D-4BE3-BBC3-68F445273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7129263"/>
        <c:axId val="1097125423"/>
      </c:barChart>
      <c:catAx>
        <c:axId val="109712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7125423"/>
        <c:crosses val="autoZero"/>
        <c:auto val="1"/>
        <c:lblAlgn val="ctr"/>
        <c:lblOffset val="100"/>
        <c:noMultiLvlLbl val="0"/>
      </c:catAx>
      <c:valAx>
        <c:axId val="109712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712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6</xdr:row>
      <xdr:rowOff>110490</xdr:rowOff>
    </xdr:from>
    <xdr:to>
      <xdr:col>4</xdr:col>
      <xdr:colOff>45720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CEB4E-52FF-D4F0-1572-245238484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2B778-D93E-4567-8CEA-9AB24F106276}" name="Table1" displayName="Table1" ref="A1:D5" totalsRowShown="0">
  <autoFilter ref="A1:D5" xr:uid="{9872B778-D93E-4567-8CEA-9AB24F106276}"/>
  <tableColumns count="4">
    <tableColumn id="1" xr3:uid="{525988D7-B0E7-486A-B652-FE2FFC3D27B5}" name="Product"/>
    <tableColumn id="2" xr3:uid="{B3273C48-4A9B-4A96-A20C-4539F617B077}" name="Base Case Formula"/>
    <tableColumn id="3" xr3:uid="{88C4B99E-A924-4348-9910-AA3772D53C9A}" name="Upside Case Formula"/>
    <tableColumn id="4" xr3:uid="{A7E20C5B-E28D-4E83-AE7A-515FFC836B9E}" name="Downside Case 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C472-659A-426D-830A-A175DB5E0DC1}">
  <dimension ref="A1:D19"/>
  <sheetViews>
    <sheetView workbookViewId="0">
      <selection activeCell="D9" sqref="D9"/>
    </sheetView>
  </sheetViews>
  <sheetFormatPr defaultRowHeight="14.4" x14ac:dyDescent="0.3"/>
  <cols>
    <col min="1" max="1" width="25.44140625" customWidth="1"/>
    <col min="2" max="2" width="9.109375" customWidth="1"/>
    <col min="3" max="3" width="7.6640625" customWidth="1"/>
    <col min="4" max="4" width="8.109375" customWidth="1"/>
  </cols>
  <sheetData>
    <row r="1" spans="1:4" x14ac:dyDescent="0.3">
      <c r="A1" s="1" t="s">
        <v>1</v>
      </c>
    </row>
    <row r="2" spans="1:4" x14ac:dyDescent="0.3">
      <c r="A2" t="s">
        <v>5</v>
      </c>
      <c r="B2" s="2">
        <v>3.5</v>
      </c>
    </row>
    <row r="3" spans="1:4" x14ac:dyDescent="0.3">
      <c r="A3" t="s">
        <v>4</v>
      </c>
      <c r="B3" s="2">
        <v>3.25</v>
      </c>
    </row>
    <row r="4" spans="1:4" x14ac:dyDescent="0.3">
      <c r="A4" t="s">
        <v>6</v>
      </c>
      <c r="B4" s="2">
        <v>3.45</v>
      </c>
    </row>
    <row r="5" spans="1:4" x14ac:dyDescent="0.3">
      <c r="A5" t="s">
        <v>7</v>
      </c>
      <c r="B5" s="2">
        <v>1.5</v>
      </c>
    </row>
    <row r="7" spans="1:4" ht="28.8" x14ac:dyDescent="0.3">
      <c r="A7" s="1" t="s">
        <v>3</v>
      </c>
      <c r="B7" s="4" t="s">
        <v>2</v>
      </c>
      <c r="C7" s="4" t="s">
        <v>17</v>
      </c>
      <c r="D7" s="4" t="s">
        <v>18</v>
      </c>
    </row>
    <row r="8" spans="1:4" x14ac:dyDescent="0.3">
      <c r="A8" t="s">
        <v>8</v>
      </c>
      <c r="B8">
        <v>45</v>
      </c>
      <c r="C8" s="6">
        <v>53</v>
      </c>
      <c r="D8" s="6">
        <v>38</v>
      </c>
    </row>
    <row r="9" spans="1:4" x14ac:dyDescent="0.3">
      <c r="A9" t="s">
        <v>9</v>
      </c>
      <c r="B9">
        <v>58</v>
      </c>
      <c r="C9" s="6">
        <v>68</v>
      </c>
      <c r="D9" s="6">
        <v>49</v>
      </c>
    </row>
    <row r="10" spans="1:4" x14ac:dyDescent="0.3">
      <c r="A10" t="s">
        <v>10</v>
      </c>
      <c r="B10">
        <v>53</v>
      </c>
      <c r="C10" s="6">
        <v>63</v>
      </c>
      <c r="D10" s="6">
        <v>45</v>
      </c>
    </row>
    <row r="11" spans="1:4" x14ac:dyDescent="0.3">
      <c r="A11" t="s">
        <v>11</v>
      </c>
      <c r="B11">
        <v>60</v>
      </c>
      <c r="C11" s="6">
        <v>71</v>
      </c>
      <c r="D11" s="6">
        <v>51</v>
      </c>
    </row>
    <row r="13" spans="1:4" x14ac:dyDescent="0.3">
      <c r="A13" s="1" t="s">
        <v>0</v>
      </c>
      <c r="B13" s="3">
        <v>0.05</v>
      </c>
    </row>
    <row r="15" spans="1:4" x14ac:dyDescent="0.3">
      <c r="A15" s="5"/>
      <c r="B15" s="7"/>
      <c r="C15" s="7"/>
      <c r="D15" s="7"/>
    </row>
    <row r="16" spans="1:4" x14ac:dyDescent="0.3">
      <c r="A16" s="8"/>
      <c r="B16" s="6"/>
    </row>
    <row r="17" spans="1:2" x14ac:dyDescent="0.3">
      <c r="A17" s="8"/>
      <c r="B17" s="6"/>
    </row>
    <row r="18" spans="1:2" x14ac:dyDescent="0.3">
      <c r="A18" s="8"/>
      <c r="B18" s="6"/>
    </row>
    <row r="19" spans="1:2" x14ac:dyDescent="0.3">
      <c r="A19" s="8"/>
      <c r="B1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0B37-5037-4A04-90DD-DF1520CC2E00}">
  <dimension ref="A2:B6"/>
  <sheetViews>
    <sheetView workbookViewId="0">
      <selection activeCell="B7" sqref="B7"/>
    </sheetView>
  </sheetViews>
  <sheetFormatPr defaultRowHeight="14.4" x14ac:dyDescent="0.3"/>
  <cols>
    <col min="1" max="1" width="13.21875" bestFit="1" customWidth="1"/>
    <col min="2" max="2" width="12.5546875" customWidth="1"/>
  </cols>
  <sheetData>
    <row r="2" spans="1:2" x14ac:dyDescent="0.3">
      <c r="B2" s="1" t="s">
        <v>12</v>
      </c>
    </row>
    <row r="3" spans="1:2" x14ac:dyDescent="0.3">
      <c r="A3" t="s">
        <v>13</v>
      </c>
      <c r="B3">
        <f>Donut_price*Donuts_daily_volume</f>
        <v>157.5</v>
      </c>
    </row>
    <row r="4" spans="1:2" x14ac:dyDescent="0.3">
      <c r="A4" t="s">
        <v>14</v>
      </c>
      <c r="B4">
        <f>Croissant_price*Croissant_daily_volume</f>
        <v>188.5</v>
      </c>
    </row>
    <row r="5" spans="1:2" x14ac:dyDescent="0.3">
      <c r="A5" t="s">
        <v>15</v>
      </c>
      <c r="B5">
        <f>Club_Sandwich_price*Club_Sandwich_daily_volume</f>
        <v>182.85000000000002</v>
      </c>
    </row>
    <row r="6" spans="1:2" x14ac:dyDescent="0.3">
      <c r="A6" t="s">
        <v>16</v>
      </c>
      <c r="B6">
        <f>Cookies_price*Cookies_daily_volume</f>
        <v>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4930-10A0-4DFC-95E7-4B07A39F5BA5}">
  <dimension ref="A1:D5"/>
  <sheetViews>
    <sheetView tabSelected="1" workbookViewId="0">
      <selection activeCell="D29" sqref="D29"/>
    </sheetView>
  </sheetViews>
  <sheetFormatPr defaultRowHeight="14.4" x14ac:dyDescent="0.3"/>
  <cols>
    <col min="1" max="1" width="9.44140625" customWidth="1"/>
    <col min="2" max="2" width="18.5546875" customWidth="1"/>
    <col min="3" max="3" width="20.44140625" customWidth="1"/>
    <col min="4" max="4" width="22.6640625" customWidth="1"/>
  </cols>
  <sheetData>
    <row r="1" spans="1:4" x14ac:dyDescent="0.3">
      <c r="A1" t="s">
        <v>19</v>
      </c>
      <c r="B1" t="s">
        <v>20</v>
      </c>
      <c r="C1" t="s">
        <v>21</v>
      </c>
      <c r="D1" t="s">
        <v>22</v>
      </c>
    </row>
    <row r="2" spans="1:4" x14ac:dyDescent="0.3">
      <c r="A2" t="s">
        <v>23</v>
      </c>
      <c r="B2">
        <f>Donuts_base_daily_volume*Donut_price</f>
        <v>157.5</v>
      </c>
      <c r="C2">
        <f>Donuts_upside_daily_volume*Donut_price</f>
        <v>185.5</v>
      </c>
      <c r="D2">
        <f>donuts_downside_daily_volume*Donut_price</f>
        <v>133</v>
      </c>
    </row>
    <row r="3" spans="1:4" x14ac:dyDescent="0.3">
      <c r="A3" t="s">
        <v>24</v>
      </c>
      <c r="B3" cm="1">
        <f t="array" ref="B3">Croissants_base_daily_volume*Croissant_price</f>
        <v>188.5</v>
      </c>
      <c r="C3" cm="1">
        <f t="array" ref="C3">Croissants_upside_daily_volume*Croissant_price</f>
        <v>221</v>
      </c>
      <c r="D3" cm="1">
        <f t="array" ref="D3">Croissants_downside_daily_volume*Croissant_price</f>
        <v>159.25</v>
      </c>
    </row>
    <row r="4" spans="1:4" x14ac:dyDescent="0.3">
      <c r="A4" t="s">
        <v>25</v>
      </c>
      <c r="B4">
        <f>Club_Sandwich_base_daily_volume*Club_Sandwich_price</f>
        <v>182.85000000000002</v>
      </c>
      <c r="C4">
        <f>Club_Sandwich_upside_daily_volume*Club_Sandwich_price</f>
        <v>217.35000000000002</v>
      </c>
      <c r="D4">
        <f>Club_Sandwich_downside_daily_volume*Club_Sandwich_price</f>
        <v>155.25</v>
      </c>
    </row>
    <row r="5" spans="1:4" x14ac:dyDescent="0.3">
      <c r="A5" t="s">
        <v>26</v>
      </c>
      <c r="B5">
        <f>Cookies_base_daily_volume*Cookies_price</f>
        <v>90</v>
      </c>
      <c r="C5">
        <f>Cookies_upside_daily_volume*Cookies_price</f>
        <v>106.5</v>
      </c>
      <c r="D5">
        <f>Cookies_downside_daily_volume*Cookies_price</f>
        <v>76.5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26</vt:i4>
      </vt:variant>
    </vt:vector>
  </HeadingPairs>
  <TitlesOfParts>
    <vt:vector size="29" baseType="lpstr">
      <vt:lpstr>Drivers</vt:lpstr>
      <vt:lpstr>Calculations</vt:lpstr>
      <vt:lpstr>Scenarios</vt:lpstr>
      <vt:lpstr>Club_Sandwich_base_daily_volume</vt:lpstr>
      <vt:lpstr>Club_Sandwich_daily_volume</vt:lpstr>
      <vt:lpstr>Club_Sandwich_downside_daily_volume</vt:lpstr>
      <vt:lpstr>Club_Sandwich_price</vt:lpstr>
      <vt:lpstr>Club_Sandwich_upside_daily_volume</vt:lpstr>
      <vt:lpstr>Cookies_base_daily_volume</vt:lpstr>
      <vt:lpstr>Cookies_daily_volume</vt:lpstr>
      <vt:lpstr>Cookies_downside_daily_volume</vt:lpstr>
      <vt:lpstr>Cookies_price</vt:lpstr>
      <vt:lpstr>Cookies_upside_daily_volume</vt:lpstr>
      <vt:lpstr>Croissant_base_daily_volume</vt:lpstr>
      <vt:lpstr>Croissant_daily_volume</vt:lpstr>
      <vt:lpstr>Croissant_downside_daily_volume</vt:lpstr>
      <vt:lpstr>Croissant_price</vt:lpstr>
      <vt:lpstr>Croissant_upside_daily_volume</vt:lpstr>
      <vt:lpstr>Croissants_base_daily_volume</vt:lpstr>
      <vt:lpstr>Croissants_downside_daily_volume</vt:lpstr>
      <vt:lpstr>Croissants_upside_daily_volume</vt:lpstr>
      <vt:lpstr>Daily_Sales_Volume</vt:lpstr>
      <vt:lpstr>Donut_price</vt:lpstr>
      <vt:lpstr>Donuts_base_daily_volume</vt:lpstr>
      <vt:lpstr>Donuts_daily_volume</vt:lpstr>
      <vt:lpstr>donuts_downside_daily_volume</vt:lpstr>
      <vt:lpstr>Donuts_upside_daily_volume</vt:lpstr>
      <vt:lpstr>Price</vt:lpstr>
      <vt:lpstr>Sales_Tax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Younis</dc:creator>
  <cp:lastModifiedBy>Ayesha Younis</cp:lastModifiedBy>
  <dcterms:created xsi:type="dcterms:W3CDTF">2026-01-20T08:01:32Z</dcterms:created>
  <dcterms:modified xsi:type="dcterms:W3CDTF">2026-01-29T11:26:38Z</dcterms:modified>
</cp:coreProperties>
</file>