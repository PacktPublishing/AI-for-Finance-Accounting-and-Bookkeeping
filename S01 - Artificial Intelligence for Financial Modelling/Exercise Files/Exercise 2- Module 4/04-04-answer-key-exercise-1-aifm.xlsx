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4 work files\"/>
    </mc:Choice>
  </mc:AlternateContent>
  <xr:revisionPtr revIDLastSave="0" documentId="8_{744F362F-D1A3-4F12-BBA5-B941756D5F72}" xr6:coauthVersionLast="47" xr6:coauthVersionMax="47" xr10:uidLastSave="{00000000-0000-0000-0000-000000000000}"/>
  <bookViews>
    <workbookView xWindow="1068" yWindow="0" windowWidth="22188" windowHeight="13056" activeTab="2" xr2:uid="{00000000-000D-0000-FFFF-FFFF00000000}"/>
  </bookViews>
  <sheets>
    <sheet name="Profit_and_Loss_2025" sheetId="1" r:id="rId1"/>
    <sheet name="Balance_Sheet_2025" sheetId="2" r:id="rId2"/>
    <sheet name="Competi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C6" i="3" l="1"/>
  <c r="D6" i="3" s="1"/>
  <c r="C2" i="3"/>
  <c r="C3" i="3"/>
  <c r="C4" i="3"/>
  <c r="C5" i="3"/>
  <c r="D5" i="3" s="1"/>
  <c r="B30" i="2"/>
  <c r="B21" i="2"/>
  <c r="B25" i="2" s="1"/>
  <c r="B31" i="2" s="1"/>
  <c r="B9" i="2"/>
  <c r="B13" i="2"/>
  <c r="B17" i="1"/>
  <c r="B5" i="1"/>
  <c r="B18" i="1" s="1"/>
  <c r="B21" i="1" s="1"/>
  <c r="B14" i="2" l="1"/>
</calcChain>
</file>

<file path=xl/sharedStrings.xml><?xml version="1.0" encoding="utf-8"?>
<sst xmlns="http://schemas.openxmlformats.org/spreadsheetml/2006/main" count="61" uniqueCount="60">
  <si>
    <t>FY2025 (USD)</t>
  </si>
  <si>
    <t>Net Sales</t>
  </si>
  <si>
    <t>Cost of Goods Sold (COGS)</t>
  </si>
  <si>
    <t>Gross Profit</t>
  </si>
  <si>
    <t>Operating Expenses</t>
  </si>
  <si>
    <t xml:space="preserve">  Payroll &amp; Benefits</t>
  </si>
  <si>
    <t xml:space="preserve">  Rent</t>
  </si>
  <si>
    <t xml:space="preserve">  Marketing</t>
  </si>
  <si>
    <t xml:space="preserve">  Packaging &amp; Supplies</t>
  </si>
  <si>
    <t xml:space="preserve">  Shipping &amp; Delivery Fees</t>
  </si>
  <si>
    <t xml:space="preserve">  Returns &amp; Refunds (contra revenue)</t>
  </si>
  <si>
    <t xml:space="preserve">  Payment Processing Fees</t>
  </si>
  <si>
    <t xml:space="preserve">  Utilities</t>
  </si>
  <si>
    <t xml:space="preserve">  Software &amp; Subscriptions</t>
  </si>
  <si>
    <t xml:space="preserve">  Repairs &amp; Maintenance</t>
  </si>
  <si>
    <t>Total Operating Expenses</t>
  </si>
  <si>
    <t>Operating Income</t>
  </si>
  <si>
    <t>Other Income / (Expense)</t>
  </si>
  <si>
    <t xml:space="preserve">  Interest Expense</t>
  </si>
  <si>
    <t>Net Income</t>
  </si>
  <si>
    <t>Dec 31, 2025 (USD)</t>
  </si>
  <si>
    <t>Assets</t>
  </si>
  <si>
    <t>Current Assets</t>
  </si>
  <si>
    <t xml:space="preserve">  Cash</t>
  </si>
  <si>
    <t xml:space="preserve">  Accounts Receivable</t>
  </si>
  <si>
    <t xml:space="preserve">  Inventory</t>
  </si>
  <si>
    <t xml:space="preserve">  Prepaid Expenses</t>
  </si>
  <si>
    <t>Total Current Assets</t>
  </si>
  <si>
    <t>Non-Current Assets</t>
  </si>
  <si>
    <t xml:space="preserve">  Leasehold Improvements (net)</t>
  </si>
  <si>
    <t xml:space="preserve">  Furniture, Fixtures &amp; Equipment (net)</t>
  </si>
  <si>
    <t>Total Non-Current Assets</t>
  </si>
  <si>
    <t>Total Assets</t>
  </si>
  <si>
    <t>Liabilities</t>
  </si>
  <si>
    <t>Current Liabilities</t>
  </si>
  <si>
    <t xml:space="preserve">  Accounts Payable</t>
  </si>
  <si>
    <t xml:space="preserve">  Accrued Expenses</t>
  </si>
  <si>
    <t xml:space="preserve">  Sales Tax Payable</t>
  </si>
  <si>
    <t>Total Current Liabilities</t>
  </si>
  <si>
    <t>Long-Term Liabilities (Interest-Free)</t>
  </si>
  <si>
    <t xml:space="preserve">  Owner Loan (0% interest)</t>
  </si>
  <si>
    <t>Total Long-Term Liabilities</t>
  </si>
  <si>
    <t>Total Liabilities</t>
  </si>
  <si>
    <t>Equity</t>
  </si>
  <si>
    <t xml:space="preserve">  Owner Capital</t>
  </si>
  <si>
    <t xml:space="preserve">  Retained Earnings</t>
  </si>
  <si>
    <t>Total Equity</t>
  </si>
  <si>
    <t>Total Liabilities &amp; Equity</t>
  </si>
  <si>
    <t>Ratio</t>
  </si>
  <si>
    <t>Gross Margin</t>
  </si>
  <si>
    <t>Operating Margin</t>
  </si>
  <si>
    <t>Net Margin</t>
  </si>
  <si>
    <t>Current Ratio</t>
  </si>
  <si>
    <t>Inventory Turnover</t>
  </si>
  <si>
    <t>Balance Sheet</t>
  </si>
  <si>
    <t>Profit and Loss Statement</t>
  </si>
  <si>
    <t>Les Cadeaux</t>
  </si>
  <si>
    <t>Competitor (Smile Gifts)</t>
  </si>
  <si>
    <t>Les Cadeaux (FY2025)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</si>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</sst>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44" fontId="0" fillId="0" borderId="0" xfId="1" applyFont="1"/>
    <xf numFmtId="44" fontId="1" fillId="2" borderId="0" xfId="1" applyFont="1" applyFill="1"/>
    <xf numFmtId="44" fontId="1" fillId="0" borderId="0" xfId="1" applyFont="1"/>
    <xf numFmtId="0" fontId="4" fillId="2" borderId="1" xfId="0" applyFont="1" applyFill="1" applyBorder="1" applyAlignment="1">
      <alignment horizontal="center" vertical="top"/>
    </xf>
    <xf numFmtId="0" fontId="5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wrapText="1"/>
    </xf>
    <xf numFmtId="10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</cellXfs>
  <cellStyles count="2">
    <cellStyle name="Currency" xfId="1" builtinId="4"/>
    <cellStyle name="Normal" xfId="0" builtinId="0"/>
  </cellStyles>
  <dxfs count="5">
    <dxf>
      <alignment horizontal="center" wrapText="1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left"/>
    </dxf>
    <dxf>
      <font>
        <b/>
        <color rgb="FFFFFFFF"/>
      </font>
      <fill>
        <patternFill patternType="solid">
          <fgColor indexed="64"/>
          <bgColor rgb="FF1F4E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B371B-1E47-4DCD-8BDA-D10FA0F4C180}" name="RatioTable" displayName="RatioTable" ref="A1:D6" totalsRowShown="0" headerRowDxfId="4">
  <autoFilter ref="A1:D6" xr:uid="{9FFB371B-1E47-4DCD-8BDA-D10FA0F4C180}"/>
  <tableColumns count="4">
    <tableColumn id="1" xr3:uid="{E22E53BF-D0AE-4394-AF50-C020B894CC84}" name="Ratio" dataDxfId="3"/>
    <tableColumn id="2" xr3:uid="{0EF3CDFD-0FA9-4D0F-BDB6-DB5741F83D02}" name="Competitor (Smile Gifts)" dataDxfId="2"/>
    <tableColumn id="3" xr3:uid="{2154EB12-4565-44D1-996A-99D4E71A09C3}" name="Les Cadeaux (FY2025)" dataDxfId="1"/>
    <tableColumn id="4" xr3:uid="{02965100-F4F6-49E8-8FC8-146C40C77B57}" name="notes" dataDxfId="0">
      <calculatedColumnFormula>_xlfn.LET(_xlpm.r,RatioTable[[#This Row],[Ratio]],_xlpm.lc,RatioTable[[#This Row],[Les Cadeaux (FY2025)]],_xlpm.sg,RatioTable[[#This Row],[Competitor (Smile Gifts)]],_xlpm.diff,_xlpm.lc-_xlpm.sg,_xlpm.isPct,NOT(OR(_xlpm.r="Current Ratio",_xlpm.r="Inventory Turnover")),_xlpm.fmt,IF(_xlpm.isPct,"0.00%","0.00"),_xlpm.dir,IF(_xlpm.diff&gt;=0,"higher","lower"),"Les Cadeaux is "&amp;_xlpm.dir&amp;" than Smile Gifts by "&amp;TEXT(ABS(_xlpm.diff),_xlpm.fmt))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24" sqref="B24"/>
    </sheetView>
  </sheetViews>
  <sheetFormatPr defaultRowHeight="14.4" x14ac:dyDescent="0.3"/>
  <cols>
    <col min="1" max="1" width="30.6640625" customWidth="1"/>
    <col min="2" max="2" width="15.6640625" bestFit="1" customWidth="1"/>
  </cols>
  <sheetData>
    <row r="1" spans="1:2" ht="21" x14ac:dyDescent="0.4">
      <c r="A1" s="10" t="s">
        <v>56</v>
      </c>
    </row>
    <row r="2" spans="1:2" ht="18" x14ac:dyDescent="0.3">
      <c r="A2" s="11" t="s">
        <v>55</v>
      </c>
      <c r="B2" s="7" t="s">
        <v>0</v>
      </c>
    </row>
    <row r="3" spans="1:2" x14ac:dyDescent="0.3">
      <c r="A3" t="s">
        <v>1</v>
      </c>
      <c r="B3" s="4">
        <v>1850000</v>
      </c>
    </row>
    <row r="4" spans="1:2" x14ac:dyDescent="0.3">
      <c r="A4" t="s">
        <v>2</v>
      </c>
      <c r="B4" s="4">
        <v>1035000</v>
      </c>
    </row>
    <row r="5" spans="1:2" x14ac:dyDescent="0.3">
      <c r="A5" s="2" t="s">
        <v>3</v>
      </c>
      <c r="B5" s="5">
        <f>B3-B4</f>
        <v>815000</v>
      </c>
    </row>
    <row r="6" spans="1:2" x14ac:dyDescent="0.3">
      <c r="A6" s="3" t="s">
        <v>4</v>
      </c>
      <c r="B6" s="4"/>
    </row>
    <row r="7" spans="1:2" x14ac:dyDescent="0.3">
      <c r="A7" t="s">
        <v>5</v>
      </c>
      <c r="B7" s="4">
        <v>360000</v>
      </c>
    </row>
    <row r="8" spans="1:2" x14ac:dyDescent="0.3">
      <c r="A8" t="s">
        <v>6</v>
      </c>
      <c r="B8" s="4">
        <v>165000</v>
      </c>
    </row>
    <row r="9" spans="1:2" x14ac:dyDescent="0.3">
      <c r="A9" t="s">
        <v>7</v>
      </c>
      <c r="B9" s="4">
        <v>55000</v>
      </c>
    </row>
    <row r="10" spans="1:2" x14ac:dyDescent="0.3">
      <c r="A10" t="s">
        <v>8</v>
      </c>
      <c r="B10" s="4">
        <v>48000</v>
      </c>
    </row>
    <row r="11" spans="1:2" x14ac:dyDescent="0.3">
      <c r="A11" t="s">
        <v>9</v>
      </c>
      <c r="B11" s="4">
        <v>42000</v>
      </c>
    </row>
    <row r="12" spans="1:2" x14ac:dyDescent="0.3">
      <c r="A12" t="s">
        <v>10</v>
      </c>
      <c r="B12" s="4">
        <v>38000</v>
      </c>
    </row>
    <row r="13" spans="1:2" x14ac:dyDescent="0.3">
      <c r="A13" t="s">
        <v>11</v>
      </c>
      <c r="B13" s="4">
        <v>27000</v>
      </c>
    </row>
    <row r="14" spans="1:2" x14ac:dyDescent="0.3">
      <c r="A14" t="s">
        <v>12</v>
      </c>
      <c r="B14" s="4">
        <v>18000</v>
      </c>
    </row>
    <row r="15" spans="1:2" x14ac:dyDescent="0.3">
      <c r="A15" t="s">
        <v>13</v>
      </c>
      <c r="B15" s="4">
        <v>14000</v>
      </c>
    </row>
    <row r="16" spans="1:2" x14ac:dyDescent="0.3">
      <c r="A16" t="s">
        <v>14</v>
      </c>
      <c r="B16" s="4">
        <v>9000</v>
      </c>
    </row>
    <row r="17" spans="1:2" x14ac:dyDescent="0.3">
      <c r="A17" s="2" t="s">
        <v>15</v>
      </c>
      <c r="B17" s="5">
        <f>SUM(B7:B16)</f>
        <v>776000</v>
      </c>
    </row>
    <row r="18" spans="1:2" x14ac:dyDescent="0.3">
      <c r="A18" s="2" t="s">
        <v>16</v>
      </c>
      <c r="B18" s="5">
        <f>B5-B17</f>
        <v>39000</v>
      </c>
    </row>
    <row r="19" spans="1:2" x14ac:dyDescent="0.3">
      <c r="A19" t="s">
        <v>17</v>
      </c>
      <c r="B19" s="4"/>
    </row>
    <row r="20" spans="1:2" x14ac:dyDescent="0.3">
      <c r="A20" t="s">
        <v>18</v>
      </c>
      <c r="B20" s="4">
        <v>0</v>
      </c>
    </row>
    <row r="21" spans="1:2" x14ac:dyDescent="0.3">
      <c r="A21" s="1" t="s">
        <v>19</v>
      </c>
      <c r="B21" s="6">
        <f>B18-B20</f>
        <v>39000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B7" sqref="B7"/>
    </sheetView>
  </sheetViews>
  <sheetFormatPr defaultRowHeight="14.4" x14ac:dyDescent="0.3"/>
  <cols>
    <col min="1" max="1" width="32.44140625" customWidth="1"/>
    <col min="2" max="2" width="21.88671875" bestFit="1" customWidth="1"/>
  </cols>
  <sheetData>
    <row r="1" spans="1:2" ht="21" x14ac:dyDescent="0.4">
      <c r="A1" s="10" t="s">
        <v>56</v>
      </c>
    </row>
    <row r="2" spans="1:2" ht="18" x14ac:dyDescent="0.3">
      <c r="A2" s="7" t="s">
        <v>54</v>
      </c>
      <c r="B2" s="7" t="s">
        <v>20</v>
      </c>
    </row>
    <row r="3" spans="1:2" x14ac:dyDescent="0.3">
      <c r="A3" s="1" t="s">
        <v>21</v>
      </c>
    </row>
    <row r="4" spans="1:2" x14ac:dyDescent="0.3">
      <c r="A4" s="8" t="s">
        <v>22</v>
      </c>
    </row>
    <row r="5" spans="1:2" x14ac:dyDescent="0.3">
      <c r="A5" t="s">
        <v>23</v>
      </c>
      <c r="B5">
        <v>145000</v>
      </c>
    </row>
    <row r="6" spans="1:2" x14ac:dyDescent="0.3">
      <c r="A6" t="s">
        <v>24</v>
      </c>
      <c r="B6">
        <v>18000</v>
      </c>
    </row>
    <row r="7" spans="1:2" x14ac:dyDescent="0.3">
      <c r="A7" t="s">
        <v>25</v>
      </c>
      <c r="B7">
        <v>210000</v>
      </c>
    </row>
    <row r="8" spans="1:2" x14ac:dyDescent="0.3">
      <c r="A8" t="s">
        <v>26</v>
      </c>
      <c r="B8">
        <v>12000</v>
      </c>
    </row>
    <row r="9" spans="1:2" x14ac:dyDescent="0.3">
      <c r="A9" s="1" t="s">
        <v>27</v>
      </c>
      <c r="B9" s="1">
        <f>SUM(B5:B8)</f>
        <v>385000</v>
      </c>
    </row>
    <row r="10" spans="1:2" x14ac:dyDescent="0.3">
      <c r="A10" s="8" t="s">
        <v>28</v>
      </c>
    </row>
    <row r="11" spans="1:2" x14ac:dyDescent="0.3">
      <c r="A11" t="s">
        <v>29</v>
      </c>
      <c r="B11">
        <v>240000</v>
      </c>
    </row>
    <row r="12" spans="1:2" x14ac:dyDescent="0.3">
      <c r="A12" t="s">
        <v>30</v>
      </c>
      <c r="B12">
        <v>95000</v>
      </c>
    </row>
    <row r="13" spans="1:2" x14ac:dyDescent="0.3">
      <c r="A13" s="1" t="s">
        <v>31</v>
      </c>
      <c r="B13" s="1">
        <f>SUM(B11:B12)</f>
        <v>335000</v>
      </c>
    </row>
    <row r="14" spans="1:2" x14ac:dyDescent="0.3">
      <c r="A14" s="2" t="s">
        <v>32</v>
      </c>
      <c r="B14" s="2">
        <f>B9+B13</f>
        <v>720000</v>
      </c>
    </row>
    <row r="16" spans="1:2" x14ac:dyDescent="0.3">
      <c r="A16" s="1" t="s">
        <v>33</v>
      </c>
    </row>
    <row r="17" spans="1:2" x14ac:dyDescent="0.3">
      <c r="A17" s="8" t="s">
        <v>34</v>
      </c>
    </row>
    <row r="18" spans="1:2" x14ac:dyDescent="0.3">
      <c r="A18" t="s">
        <v>35</v>
      </c>
      <c r="B18">
        <v>62000</v>
      </c>
    </row>
    <row r="19" spans="1:2" x14ac:dyDescent="0.3">
      <c r="A19" t="s">
        <v>36</v>
      </c>
      <c r="B19">
        <v>28000</v>
      </c>
    </row>
    <row r="20" spans="1:2" x14ac:dyDescent="0.3">
      <c r="A20" t="s">
        <v>37</v>
      </c>
      <c r="B20">
        <v>6000</v>
      </c>
    </row>
    <row r="21" spans="1:2" x14ac:dyDescent="0.3">
      <c r="A21" s="2" t="s">
        <v>38</v>
      </c>
      <c r="B21" s="2">
        <f>SUM(B18:B20)</f>
        <v>96000</v>
      </c>
    </row>
    <row r="22" spans="1:2" x14ac:dyDescent="0.3">
      <c r="A22" t="s">
        <v>39</v>
      </c>
    </row>
    <row r="23" spans="1:2" x14ac:dyDescent="0.3">
      <c r="A23" t="s">
        <v>40</v>
      </c>
      <c r="B23">
        <v>70000</v>
      </c>
    </row>
    <row r="24" spans="1:2" x14ac:dyDescent="0.3">
      <c r="A24" s="2" t="s">
        <v>41</v>
      </c>
      <c r="B24" s="2">
        <v>70000</v>
      </c>
    </row>
    <row r="25" spans="1:2" x14ac:dyDescent="0.3">
      <c r="A25" s="2" t="s">
        <v>42</v>
      </c>
      <c r="B25" s="2">
        <f>B21+B24</f>
        <v>166000</v>
      </c>
    </row>
    <row r="27" spans="1:2" x14ac:dyDescent="0.3">
      <c r="A27" s="1" t="s">
        <v>43</v>
      </c>
    </row>
    <row r="28" spans="1:2" x14ac:dyDescent="0.3">
      <c r="A28" t="s">
        <v>44</v>
      </c>
      <c r="B28">
        <v>515000</v>
      </c>
    </row>
    <row r="29" spans="1:2" x14ac:dyDescent="0.3">
      <c r="A29" t="s">
        <v>45</v>
      </c>
      <c r="B29">
        <v>39000</v>
      </c>
    </row>
    <row r="30" spans="1:2" x14ac:dyDescent="0.3">
      <c r="A30" s="2" t="s">
        <v>46</v>
      </c>
      <c r="B30" s="2">
        <f>B28+B29</f>
        <v>554000</v>
      </c>
    </row>
    <row r="31" spans="1:2" x14ac:dyDescent="0.3">
      <c r="A31" s="2" t="s">
        <v>47</v>
      </c>
      <c r="B31" s="2">
        <f>B25+B30</f>
        <v>720000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C3" sqref="C3"/>
    </sheetView>
  </sheetViews>
  <sheetFormatPr defaultRowHeight="14.4" x14ac:dyDescent="0.3"/>
  <cols>
    <col min="1" max="1" width="16.6640625" bestFit="1" customWidth="1"/>
    <col min="2" max="2" width="36.5546875" style="9" bestFit="1" customWidth="1"/>
    <col min="3" max="3" width="23.6640625" bestFit="1" customWidth="1"/>
    <col min="4" max="4" width="70.33203125" customWidth="1"/>
  </cols>
  <sheetData>
    <row r="1" spans="1:4" ht="21" x14ac:dyDescent="0.3">
      <c r="A1" s="15" t="s">
        <v>48</v>
      </c>
      <c r="B1" s="12" t="s">
        <v>57</v>
      </c>
      <c r="C1" s="17" t="s">
        <v>58</v>
      </c>
      <c r="D1" s="20" t="s">
        <v>59</v>
      </c>
    </row>
    <row r="2" spans="1:4" x14ac:dyDescent="0.3">
      <c r="A2" s="16" t="s">
        <v>49</v>
      </c>
      <c r="B2" s="13">
        <v>0.45</v>
      </c>
      <c r="C2" s="18">
        <f>_xlfn.XLOOKUP("Gross Profit",Profit_and_Loss_2025!A:A,Profit_and_Loss_2025!B:B)/_xlfn.XLOOKUP("Net Sales",Profit_and_Loss_2025!A:A,Profit_and_Loss_2025!B:B)</f>
        <v>0.44054054054054054</v>
      </c>
      <c r="D2" s="21" t="str">
        <f>_xlfn.LET(_xlpm.r,RatioTable[[#This Row],[Ratio]],_xlpm.lc,RatioTable[[#This Row],[Les Cadeaux (FY2025)]],_xlpm.sg,RatioTable[[#This Row],[Competitor (Smile Gifts)]],_xlpm.diff,_xlpm.lc-_xlpm.sg,_xlpm.isPct,NOT(OR(_xlpm.r="Current Ratio",_xlpm.r="Inventory Turnover")),_xlpm.fmt,IF(_xlpm.isPct,"0.00%","0.00"),_xlpm.dir,IF(_xlpm.diff&gt;=0,"higher","lower"),"Les Cadeaux is "&amp;_xlpm.dir&amp;" than Smile Gifts by "&amp;TEXT(ABS(_xlpm.diff),_xlpm.fmt))</f>
        <v>Les Cadeaux is lower than Smile Gifts by 0.95%</v>
      </c>
    </row>
    <row r="3" spans="1:4" x14ac:dyDescent="0.3">
      <c r="A3" s="16" t="s">
        <v>50</v>
      </c>
      <c r="B3" s="13">
        <v>0.04</v>
      </c>
      <c r="C3" s="18">
        <f>_xlfn.XLOOKUP("Operating Income",Profit_and_Loss_2025!A:A,Profit_and_Loss_2025!B:B)/_xlfn.XLOOKUP("Net Sales",Profit_and_Loss_2025!A:A,Profit_and_Loss_2025!B:B)</f>
        <v>2.1081081081081081E-2</v>
      </c>
      <c r="D3" s="21" t="str">
        <f>_xlfn.LET(_xlpm.r,RatioTable[[#This Row],[Ratio]],_xlpm.lc,RatioTable[[#This Row],[Les Cadeaux (FY2025)]],_xlpm.sg,RatioTable[[#This Row],[Competitor (Smile Gifts)]],_xlpm.diff,_xlpm.lc-_xlpm.sg,_xlpm.isPct,NOT(OR(_xlpm.r="Current Ratio",_xlpm.r="Inventory Turnover")),_xlpm.fmt,IF(_xlpm.isPct,"0.00%","0.00"),_xlpm.dir,IF(_xlpm.diff&gt;=0,"higher","lower"),"Les Cadeaux is "&amp;_xlpm.dir&amp;" than Smile Gifts by "&amp;TEXT(ABS(_xlpm.diff),_xlpm.fmt))</f>
        <v>Les Cadeaux is lower than Smile Gifts by 1.89%</v>
      </c>
    </row>
    <row r="4" spans="1:4" x14ac:dyDescent="0.3">
      <c r="A4" s="16" t="s">
        <v>51</v>
      </c>
      <c r="B4" s="13">
        <v>0.03</v>
      </c>
      <c r="C4" s="18">
        <f>_xlfn.XLOOKUP("Net Income",Profit_and_Loss_2025!A:A,Profit_and_Loss_2025!B:B)/_xlfn.XLOOKUP("Net Sales",Profit_and_Loss_2025!A:A,Profit_and_Loss_2025!B:B)</f>
        <v>2.1081081081081081E-2</v>
      </c>
      <c r="D4" s="21" t="str">
        <f>_xlfn.LET(_xlpm.r,RatioTable[[#This Row],[Ratio]],_xlpm.lc,RatioTable[[#This Row],[Les Cadeaux (FY2025)]],_xlpm.sg,RatioTable[[#This Row],[Competitor (Smile Gifts)]],_xlpm.diff,_xlpm.lc-_xlpm.sg,_xlpm.isPct,NOT(OR(_xlpm.r="Current Ratio",_xlpm.r="Inventory Turnover")),_xlpm.fmt,IF(_xlpm.isPct,"0.00%","0.00"),_xlpm.dir,IF(_xlpm.diff&gt;=0,"higher","lower"),"Les Cadeaux is "&amp;_xlpm.dir&amp;" than Smile Gifts by "&amp;TEXT(ABS(_xlpm.diff),_xlpm.fmt))</f>
        <v>Les Cadeaux is lower than Smile Gifts by 0.89%</v>
      </c>
    </row>
    <row r="5" spans="1:4" x14ac:dyDescent="0.3">
      <c r="A5" s="16" t="s">
        <v>52</v>
      </c>
      <c r="B5" s="14">
        <v>3.2</v>
      </c>
      <c r="C5" s="19">
        <f>_xlfn.XLOOKUP("Total Current Assets",Balance_Sheet_2025!A:A,Balance_Sheet_2025!B:B)/_xlfn.XLOOKUP("Total Current Liabilities",Balance_Sheet_2025!A:A,Balance_Sheet_2025!B:B)</f>
        <v>4.010416666666667</v>
      </c>
      <c r="D5" s="22" t="str">
        <f>_xlfn.LET(_xlpm.r,RatioTable[[#This Row],[Ratio]],_xlpm.lc,RatioTable[[#This Row],[Les Cadeaux (FY2025)]],_xlpm.sg,RatioTable[[#This Row],[Competitor (Smile Gifts)]],_xlpm.diff,_xlpm.lc-_xlpm.sg,_xlpm.isPct,NOT(OR(_xlpm.r="Current Ratio",_xlpm.r="Inventory Turnover")),_xlpm.fmt,IF(_xlpm.isPct,"0.00%","0.00"),_xlpm.dir,IF(_xlpm.diff&gt;=0,"higher","lower"),"Les Cadeaux is "&amp;_xlpm.dir&amp;" than Smile Gifts by "&amp;TEXT(ABS(_xlpm.diff),_xlpm.fmt))</f>
        <v>Les Cadeaux is higher than Smile Gifts by 0.81</v>
      </c>
    </row>
    <row r="6" spans="1:4" x14ac:dyDescent="0.3">
      <c r="A6" s="16" t="s">
        <v>53</v>
      </c>
      <c r="B6" s="14">
        <v>6.8</v>
      </c>
      <c r="C6" s="19">
        <f>ABS(_xlfn.XLOOKUP("Cost of Goods Sold (COGS)",Profit_and_Loss_2025!A:A,Profit_and_Loss_2025!B:B))/_xlfn.XLOOKUP("*Inventory*",Balance_Sheet_2025!A:A,Balance_Sheet_2025!B:B,,2)</f>
        <v>4.9285714285714288</v>
      </c>
      <c r="D6" s="22" t="str">
        <f>_xlfn.LET(_xlpm.r,RatioTable[[#This Row],[Ratio]],_xlpm.lc,RatioTable[[#This Row],[Les Cadeaux (FY2025)]],_xlpm.sg,RatioTable[[#This Row],[Competitor (Smile Gifts)]],_xlpm.diff,_xlpm.lc-_xlpm.sg,_xlpm.isPct,NOT(OR(_xlpm.r="Current Ratio",_xlpm.r="Inventory Turnover")),_xlpm.fmt,IF(_xlpm.isPct,"0.00%","0.00"),_xlpm.dir,IF(_xlpm.diff&gt;=0,"higher","lower"),"Les Cadeaux is "&amp;_xlpm.dir&amp;" than Smile Gifts by "&amp;TEXT(ABS(_xlpm.diff),_xlpm.fmt))</f>
        <v>Les Cadeaux is lower than Smile Gifts by 1.87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Profit_and_Loss_2025</vt:lpstr>
      <vt:lpstr>Balance_Sheet_2025</vt:lpstr>
      <vt:lpstr>Competitor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Ayesha Younis</cp:lastModifiedBy>
  <dcterms:created xsi:type="dcterms:W3CDTF">2026-01-31T18:59:32Z</dcterms:created>
  <dcterms:modified xsi:type="dcterms:W3CDTF">2026-02-01T07:26:37Z</dcterms:modified>
</cp:coreProperties>
</file>