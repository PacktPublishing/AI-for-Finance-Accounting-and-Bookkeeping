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4 work files\Exercise files\"/>
    </mc:Choice>
  </mc:AlternateContent>
  <xr:revisionPtr revIDLastSave="0" documentId="13_ncr:1_{69D4E44A-3927-4D5D-95BF-94611D775E4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GL_Nov_Dec_2025" sheetId="1" r:id="rId1"/>
    <sheet name="Expense_analysis" sheetId="2" r:id="rId2"/>
    <sheet name="Because_state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A4" i="2" a="1"/>
  <c r="A4" i="2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C4" i="2" l="1"/>
  <c r="D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<sst xmlns="http://schemas.openxmlformats.org/spreadsheetml/2006/main" count="1218" uniqueCount="142">
  <si>
    <t>Date</t>
  </si>
  <si>
    <t>Location</t>
  </si>
  <si>
    <t>Account</t>
  </si>
  <si>
    <t>GL_Category</t>
  </si>
  <si>
    <t>Vendor</t>
  </si>
  <si>
    <t>Memo</t>
  </si>
  <si>
    <t>Amount_USD</t>
  </si>
  <si>
    <t>2025-11-11</t>
  </si>
  <si>
    <t>2025-11-27</t>
  </si>
  <si>
    <t>2025-11-02</t>
  </si>
  <si>
    <t>2025-11-03</t>
  </si>
  <si>
    <t>2025-11-08</t>
  </si>
  <si>
    <t>2025-11-19</t>
  </si>
  <si>
    <t>2025-11-10</t>
  </si>
  <si>
    <t>2025-11-18</t>
  </si>
  <si>
    <t>2025-11-25</t>
  </si>
  <si>
    <t>2025-11-06</t>
  </si>
  <si>
    <t>2025-11-14</t>
  </si>
  <si>
    <t>2025-11-23</t>
  </si>
  <si>
    <t>2025-11-22</t>
  </si>
  <si>
    <t>2025-11-29</t>
  </si>
  <si>
    <t>2025-11-05</t>
  </si>
  <si>
    <t>2025-11-09</t>
  </si>
  <si>
    <t>2025-11-01</t>
  </si>
  <si>
    <t>2025-11-15</t>
  </si>
  <si>
    <t>2025-11-13</t>
  </si>
  <si>
    <t>2025-11-21</t>
  </si>
  <si>
    <t>2025-11-04</t>
  </si>
  <si>
    <t>2025-11-16</t>
  </si>
  <si>
    <t>2025-11-24</t>
  </si>
  <si>
    <t>2025-11-07</t>
  </si>
  <si>
    <t>2025-11-17</t>
  </si>
  <si>
    <t>2025-11-26</t>
  </si>
  <si>
    <t>2025-11-12</t>
  </si>
  <si>
    <t>2025-11-30</t>
  </si>
  <si>
    <t>2025-12-07</t>
  </si>
  <si>
    <t>2025-12-22</t>
  </si>
  <si>
    <t>2025-12-18</t>
  </si>
  <si>
    <t>2025-12-10</t>
  </si>
  <si>
    <t>2025-12-27</t>
  </si>
  <si>
    <t>2025-12-13</t>
  </si>
  <si>
    <t>2025-12-03</t>
  </si>
  <si>
    <t>2025-12-02</t>
  </si>
  <si>
    <t>2025-12-15</t>
  </si>
  <si>
    <t>2025-12-09</t>
  </si>
  <si>
    <t>2025-12-08</t>
  </si>
  <si>
    <t>2025-12-12</t>
  </si>
  <si>
    <t>2025-12-16</t>
  </si>
  <si>
    <t>2025-12-25</t>
  </si>
  <si>
    <t>2025-12-24</t>
  </si>
  <si>
    <t>2025-12-19</t>
  </si>
  <si>
    <t>2025-12-26</t>
  </si>
  <si>
    <t>2025-12-31</t>
  </si>
  <si>
    <t>2025-12-29</t>
  </si>
  <si>
    <t>2025-12-01</t>
  </si>
  <si>
    <t>2025-12-04</t>
  </si>
  <si>
    <t>2025-12-30</t>
  </si>
  <si>
    <t>2025-12-14</t>
  </si>
  <si>
    <t>2025-12-06</t>
  </si>
  <si>
    <t>2025-12-28</t>
  </si>
  <si>
    <t>2025-12-05</t>
  </si>
  <si>
    <t>2025-12-23</t>
  </si>
  <si>
    <t>2025-12-17</t>
  </si>
  <si>
    <t>2025-12-21</t>
  </si>
  <si>
    <t>Les Cadeaux - Nashville, TN</t>
  </si>
  <si>
    <t>Returns &amp; Refunds</t>
  </si>
  <si>
    <t>Packaging &amp; Supplies</t>
  </si>
  <si>
    <t>Sales Revenue</t>
  </si>
  <si>
    <t>Shipping &amp; Delivery Fees</t>
  </si>
  <si>
    <t>Payroll &amp; Benefits</t>
  </si>
  <si>
    <t>COGS - Inventory Purchases</t>
  </si>
  <si>
    <t>Payment Processing Fees</t>
  </si>
  <si>
    <t>Marketing</t>
  </si>
  <si>
    <t>Utilities</t>
  </si>
  <si>
    <t>Rent</t>
  </si>
  <si>
    <t>Software &amp; Subscriptions</t>
  </si>
  <si>
    <t>Contra Revenue</t>
  </si>
  <si>
    <t>OPEX</t>
  </si>
  <si>
    <t>Revenue</t>
  </si>
  <si>
    <t>COGS</t>
  </si>
  <si>
    <t>Stripe Refunds</t>
  </si>
  <si>
    <t>Box &amp; Bow Co.</t>
  </si>
  <si>
    <t>Customer Sales</t>
  </si>
  <si>
    <t>FedEx</t>
  </si>
  <si>
    <t>Overtime Payroll</t>
  </si>
  <si>
    <t>Boutique Imports</t>
  </si>
  <si>
    <t>Seasonal Goods Inc.</t>
  </si>
  <si>
    <t>Various</t>
  </si>
  <si>
    <t>ShipStation Labels</t>
  </si>
  <si>
    <t>Artisan Wholesale</t>
  </si>
  <si>
    <t>Holiday Helpers LLC</t>
  </si>
  <si>
    <t>USPS</t>
  </si>
  <si>
    <t>TempTalent Staffing</t>
  </si>
  <si>
    <t>EcoWrap Nashville</t>
  </si>
  <si>
    <t>Local Makers Collective</t>
  </si>
  <si>
    <t>PayPal Disputes</t>
  </si>
  <si>
    <t>PackRight Supplies</t>
  </si>
  <si>
    <t>UPS</t>
  </si>
  <si>
    <t>RibbonWorks</t>
  </si>
  <si>
    <t>Square Refunds</t>
  </si>
  <si>
    <t>Refund issued - duplicate order placed by customer</t>
  </si>
  <si>
    <t>Gift boxes + tissue restock (holiday rush)</t>
  </si>
  <si>
    <t>Online order - curated gift set</t>
  </si>
  <si>
    <t>Holiday delivery surcharge</t>
  </si>
  <si>
    <t>Seasonal staff hours - holiday coverage</t>
  </si>
  <si>
    <t>Restock: candles + soaps</t>
  </si>
  <si>
    <t>Bulk buy: wrapping accessories</t>
  </si>
  <si>
    <t>Store operations</t>
  </si>
  <si>
    <t>Holiday bonus stipend</t>
  </si>
  <si>
    <t>Same-day courier add-on for VIP client</t>
  </si>
  <si>
    <t>Restock: plush + accessories</t>
  </si>
  <si>
    <t>Address correction + priority upgrade</t>
  </si>
  <si>
    <t>Subscription renewal</t>
  </si>
  <si>
    <t>Custom basket order</t>
  </si>
  <si>
    <t>Vendor charge</t>
  </si>
  <si>
    <t>In-store gift purchase</t>
  </si>
  <si>
    <t>Backroom fulfillment support (packing station)</t>
  </si>
  <si>
    <t>Expedited label purchase for out-of-state delivery</t>
  </si>
  <si>
    <t>Corporate gifting invoice paid</t>
  </si>
  <si>
    <t>Eco wrap sleeves + thank-you cards replenishment</t>
  </si>
  <si>
    <t>Holiday sale transaction</t>
  </si>
  <si>
    <t>Routine operating cost</t>
  </si>
  <si>
    <t>Wholesale purchase: ornaments + cards</t>
  </si>
  <si>
    <t>Inventory replenishment - holiday gift sets</t>
  </si>
  <si>
    <t>Return processed - damaged item in transit</t>
  </si>
  <si>
    <t>Monthly expense</t>
  </si>
  <si>
    <t>Overtime payout for extended store hours</t>
  </si>
  <si>
    <t>Premium boxes for corporate gifting batch</t>
  </si>
  <si>
    <t>Refund - late delivery complaint</t>
  </si>
  <si>
    <t>Bubble mailers + fragile stickers for ornaments</t>
  </si>
  <si>
    <t>Rush shipping for last-minute customer order</t>
  </si>
  <si>
    <t>Temp cashier shift - weekend peak</t>
  </si>
  <si>
    <t>Chargeback resolved - customer dispute (holiday sale)</t>
  </si>
  <si>
    <t>Date_Real</t>
  </si>
  <si>
    <t>MonthStart</t>
  </si>
  <si>
    <t>📈 Expense analysis (Nov–Dec 2025)</t>
  </si>
  <si>
    <t>Month-wise totals by GL_Category and Account. % Change compares Dec vs Nov.</t>
  </si>
  <si>
    <t>Nov-2025 Total</t>
  </si>
  <si>
    <t>Dec-2025 Total</t>
  </si>
  <si>
    <t>% Change (Dec vs Nov)</t>
  </si>
  <si>
    <r>
      <t xml:space="preserve">Les Cadeaux achieved stronger sales in December, but profit stayed flat because the holiday revenue uplift was absorbed by fulfillment-driven cost leakage — </t>
    </r>
    <r>
      <rPr>
        <b/>
        <i/>
        <sz val="11"/>
        <rFont val="Arial"/>
        <family val="2"/>
      </rPr>
      <t>Returns &amp; Refunds increased by $2.67K</t>
    </r>
    <r>
      <rPr>
        <i/>
        <sz val="11"/>
        <rFont val="Arial"/>
        <family val="2"/>
      </rPr>
      <t xml:space="preserve"> this mean late deliveries and damaged-in-transit gifting, </t>
    </r>
    <r>
      <rPr>
        <b/>
        <i/>
        <sz val="11"/>
        <rFont val="Arial"/>
        <family val="2"/>
      </rPr>
      <t>Shipping &amp; Delivery costs rose by $0.54K</t>
    </r>
    <r>
      <rPr>
        <i/>
        <sz val="11"/>
        <rFont val="Arial"/>
        <family val="2"/>
      </rPr>
      <t xml:space="preserve"> due to peak-season surcharges and rush upgrades, and </t>
    </r>
    <r>
      <rPr>
        <b/>
        <i/>
        <sz val="11"/>
        <rFont val="Arial"/>
        <family val="2"/>
      </rPr>
      <t>Packaging &amp; Supplies increased by $0.11K</t>
    </r>
    <r>
      <rPr>
        <i/>
        <sz val="11"/>
        <rFont val="Arial"/>
        <family val="2"/>
      </rPr>
      <t xml:space="preserve"> due to premium holiday gift boxing. As a result, external holiday logistics pressure and consumer return behavior amplified variable operating costs, creating a sales surge without a proportional increase in profitability.</t>
    </r>
  </si>
  <si>
    <r>
      <t>Model '</t>
    </r>
    <r>
      <rPr>
        <i/>
        <sz val="11"/>
        <color rgb="FF000000"/>
        <rFont val="Arial"/>
        <family val="2"/>
      </rPr>
      <t xml:space="preserve">because' </t>
    </r>
    <r>
      <rPr>
        <sz val="11"/>
        <color rgb="FF000000"/>
        <rFont val="Arial"/>
        <family val="2"/>
      </rPr>
      <t>statement: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</si>
</sst>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1F4E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/>
    <xf numFmtId="0" fontId="1" fillId="2" borderId="2" xfId="0" applyFont="1" applyFill="1" applyBorder="1" applyAlignment="1">
      <alignment horizontal="center" vertical="top"/>
    </xf>
    <xf numFmtId="44" fontId="1" fillId="2" borderId="2" xfId="1" applyFont="1" applyFill="1" applyBorder="1" applyAlignment="1">
      <alignment horizontal="center" vertical="top"/>
    </xf>
    <xf numFmtId="164" fontId="0" fillId="0" borderId="0" xfId="1" applyNumberFormat="1" applyFont="1"/>
    <xf numFmtId="17" fontId="0" fillId="0" borderId="0" xfId="1" applyNumberFormat="1" applyFont="1"/>
    <xf numFmtId="164" fontId="0" fillId="0" borderId="0" xfId="0" applyNumberFormat="1"/>
    <xf numFmtId="0" fontId="0" fillId="0" borderId="1" xfId="0" applyBorder="1"/>
    <xf numFmtId="44" fontId="0" fillId="0" borderId="1" xfId="0" applyNumberFormat="1" applyBorder="1"/>
    <xf numFmtId="10" fontId="0" fillId="0" borderId="1" xfId="0" applyNumberFormat="1" applyBorder="1"/>
    <xf numFmtId="0" fontId="5" fillId="3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763103-D2E0-4C87-9ABE-1BC52BC0E91C}" name="GL_Data" displayName="GL_Data" ref="A1:I201" totalsRowShown="0" headerRowDxfId="6" headerRowBorderDxfId="5" tableBorderDxfId="4">
  <autoFilter ref="A1:I201" xr:uid="{4F763103-D2E0-4C87-9ABE-1BC52BC0E91C}"/>
  <tableColumns count="9">
    <tableColumn id="1" xr3:uid="{9142FFC2-684B-4361-AE53-971891670BBF}" name="Date" dataDxfId="3"/>
    <tableColumn id="2" xr3:uid="{28C3F36E-8625-4DDA-9492-C03B82BE949E}" name="Location"/>
    <tableColumn id="3" xr3:uid="{69C79629-FD16-4E4F-B1CC-A49CF69F51D1}" name="Account"/>
    <tableColumn id="4" xr3:uid="{73A64448-A0F0-465E-BB69-93F760BE40E6}" name="GL_Category"/>
    <tableColumn id="5" xr3:uid="{8908B657-2227-4937-92D3-4938AA250E94}" name="Vendor"/>
    <tableColumn id="6" xr3:uid="{8585CFC4-6CC5-4012-BF46-659C0A93F260}" name="Memo"/>
    <tableColumn id="7" xr3:uid="{768DE3FF-880E-49EE-8DD3-8A107289A577}" name="Amount_USD" dataDxfId="2" dataCellStyle="Currency"/>
    <tableColumn id="8" xr3:uid="{4774BD9E-C978-4D16-9DE6-8CAE7C837A95}" name="Date_Real" dataDxfId="1" dataCellStyle="Currency">
      <calculatedColumnFormula>IFERROR(DATEVALUE(GL_Data[[#This Row],[Date]]),GL_Data[[#This Row],[Date]])</calculatedColumnFormula>
    </tableColumn>
    <tableColumn id="9" xr3:uid="{7241F7C3-53B7-43AE-8B75-850B1D05823D}" name="MonthStart" dataDxfId="0" dataCellStyle="Currency">
      <calculatedColumnFormula>DATE(YEAR(GL_Data[[#This Row],[Date_Real]]),MONTH(GL_Data[[#This Row],[Date_Real]]),1)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workbookViewId="0">
      <selection activeCell="D14" sqref="D14"/>
    </sheetView>
  </sheetViews>
  <sheetFormatPr defaultRowHeight="14.4" x14ac:dyDescent="0.3"/>
  <cols>
    <col min="1" max="1" width="10.33203125" bestFit="1" customWidth="1"/>
    <col min="2" max="2" width="23.5546875" bestFit="1" customWidth="1"/>
    <col min="3" max="3" width="23.77734375" bestFit="1" customWidth="1"/>
    <col min="4" max="4" width="14.109375" bestFit="1" customWidth="1"/>
    <col min="5" max="5" width="20.44140625" bestFit="1" customWidth="1"/>
    <col min="6" max="6" width="45.33203125" bestFit="1" customWidth="1"/>
    <col min="7" max="7" width="15.6640625" style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133</v>
      </c>
      <c r="I1" s="3" t="s">
        <v>134</v>
      </c>
    </row>
    <row r="2" spans="1:9" x14ac:dyDescent="0.3">
      <c r="A2" s="6" t="s">
        <v>7</v>
      </c>
      <c r="B2" t="s">
        <v>64</v>
      </c>
      <c r="C2" t="s">
        <v>65</v>
      </c>
      <c r="D2" t="s">
        <v>76</v>
      </c>
      <c r="E2" t="s">
        <v>80</v>
      </c>
      <c r="F2" t="s">
        <v>100</v>
      </c>
      <c r="G2" s="1">
        <v>-153.32</v>
      </c>
      <c r="H2" s="4">
        <f>IFERROR(DATEVALUE(GL_Data[[#This Row],[Date]]),GL_Data[[#This Row],[Date]])</f>
        <v>45972</v>
      </c>
      <c r="I2" s="5">
        <f>DATE(YEAR(GL_Data[[#This Row],[Date_Real]]),MONTH(GL_Data[[#This Row],[Date_Real]]),1)</f>
        <v>45962</v>
      </c>
    </row>
    <row r="3" spans="1:9" x14ac:dyDescent="0.3">
      <c r="A3" s="6" t="s">
        <v>8</v>
      </c>
      <c r="B3" t="s">
        <v>64</v>
      </c>
      <c r="C3" t="s">
        <v>66</v>
      </c>
      <c r="D3" t="s">
        <v>77</v>
      </c>
      <c r="E3" t="s">
        <v>81</v>
      </c>
      <c r="F3" t="s">
        <v>101</v>
      </c>
      <c r="G3" s="1">
        <v>-78.510000000000005</v>
      </c>
      <c r="H3" s="4">
        <f>IFERROR(DATEVALUE(GL_Data[[#This Row],[Date]]),GL_Data[[#This Row],[Date]])</f>
        <v>45988</v>
      </c>
      <c r="I3" s="5">
        <f>DATE(YEAR(GL_Data[[#This Row],[Date_Real]]),MONTH(GL_Data[[#This Row],[Date_Real]]),1)</f>
        <v>45962</v>
      </c>
    </row>
    <row r="4" spans="1:9" x14ac:dyDescent="0.3">
      <c r="A4" s="6" t="s">
        <v>9</v>
      </c>
      <c r="B4" t="s">
        <v>64</v>
      </c>
      <c r="C4" t="s">
        <v>67</v>
      </c>
      <c r="D4" t="s">
        <v>78</v>
      </c>
      <c r="E4" t="s">
        <v>82</v>
      </c>
      <c r="F4" t="s">
        <v>102</v>
      </c>
      <c r="G4" s="1">
        <v>1065.44</v>
      </c>
      <c r="H4" s="4">
        <f>IFERROR(DATEVALUE(GL_Data[[#This Row],[Date]]),GL_Data[[#This Row],[Date]])</f>
        <v>45963</v>
      </c>
      <c r="I4" s="5">
        <f>DATE(YEAR(GL_Data[[#This Row],[Date_Real]]),MONTH(GL_Data[[#This Row],[Date_Real]]),1)</f>
        <v>45962</v>
      </c>
    </row>
    <row r="5" spans="1:9" x14ac:dyDescent="0.3">
      <c r="A5" s="6" t="s">
        <v>10</v>
      </c>
      <c r="B5" t="s">
        <v>64</v>
      </c>
      <c r="C5" t="s">
        <v>68</v>
      </c>
      <c r="D5" t="s">
        <v>77</v>
      </c>
      <c r="E5" t="s">
        <v>83</v>
      </c>
      <c r="F5" t="s">
        <v>103</v>
      </c>
      <c r="G5" s="1">
        <v>-25.94</v>
      </c>
      <c r="H5" s="4">
        <f>IFERROR(DATEVALUE(GL_Data[[#This Row],[Date]]),GL_Data[[#This Row],[Date]])</f>
        <v>45964</v>
      </c>
      <c r="I5" s="5">
        <f>DATE(YEAR(GL_Data[[#This Row],[Date_Real]]),MONTH(GL_Data[[#This Row],[Date_Real]]),1)</f>
        <v>45962</v>
      </c>
    </row>
    <row r="6" spans="1:9" x14ac:dyDescent="0.3">
      <c r="A6" s="6" t="s">
        <v>11</v>
      </c>
      <c r="B6" t="s">
        <v>64</v>
      </c>
      <c r="C6" t="s">
        <v>69</v>
      </c>
      <c r="D6" t="s">
        <v>77</v>
      </c>
      <c r="E6" t="s">
        <v>84</v>
      </c>
      <c r="F6" t="s">
        <v>104</v>
      </c>
      <c r="G6" s="1">
        <v>-599.76</v>
      </c>
      <c r="H6" s="4">
        <f>IFERROR(DATEVALUE(GL_Data[[#This Row],[Date]]),GL_Data[[#This Row],[Date]])</f>
        <v>45969</v>
      </c>
      <c r="I6" s="5">
        <f>DATE(YEAR(GL_Data[[#This Row],[Date_Real]]),MONTH(GL_Data[[#This Row],[Date_Real]]),1)</f>
        <v>45962</v>
      </c>
    </row>
    <row r="7" spans="1:9" x14ac:dyDescent="0.3">
      <c r="A7" s="6" t="s">
        <v>12</v>
      </c>
      <c r="B7" t="s">
        <v>64</v>
      </c>
      <c r="C7" t="s">
        <v>70</v>
      </c>
      <c r="D7" t="s">
        <v>79</v>
      </c>
      <c r="E7" t="s">
        <v>85</v>
      </c>
      <c r="F7" t="s">
        <v>105</v>
      </c>
      <c r="G7" s="1">
        <v>-1174.3599999999999</v>
      </c>
      <c r="H7" s="4">
        <f>IFERROR(DATEVALUE(GL_Data[[#This Row],[Date]]),GL_Data[[#This Row],[Date]])</f>
        <v>45980</v>
      </c>
      <c r="I7" s="5">
        <f>DATE(YEAR(GL_Data[[#This Row],[Date_Real]]),MONTH(GL_Data[[#This Row],[Date_Real]]),1)</f>
        <v>45962</v>
      </c>
    </row>
    <row r="8" spans="1:9" x14ac:dyDescent="0.3">
      <c r="A8" s="6" t="s">
        <v>13</v>
      </c>
      <c r="B8" t="s">
        <v>64</v>
      </c>
      <c r="C8" t="s">
        <v>70</v>
      </c>
      <c r="D8" t="s">
        <v>79</v>
      </c>
      <c r="E8" t="s">
        <v>86</v>
      </c>
      <c r="F8" t="s">
        <v>106</v>
      </c>
      <c r="G8" s="1">
        <v>-703.94</v>
      </c>
      <c r="H8" s="4">
        <f>IFERROR(DATEVALUE(GL_Data[[#This Row],[Date]]),GL_Data[[#This Row],[Date]])</f>
        <v>45971</v>
      </c>
      <c r="I8" s="5">
        <f>DATE(YEAR(GL_Data[[#This Row],[Date_Real]]),MONTH(GL_Data[[#This Row],[Date_Real]]),1)</f>
        <v>45962</v>
      </c>
    </row>
    <row r="9" spans="1:9" x14ac:dyDescent="0.3">
      <c r="A9" s="6" t="s">
        <v>14</v>
      </c>
      <c r="B9" t="s">
        <v>64</v>
      </c>
      <c r="C9" t="s">
        <v>71</v>
      </c>
      <c r="D9" t="s">
        <v>77</v>
      </c>
      <c r="E9" t="s">
        <v>87</v>
      </c>
      <c r="F9" t="s">
        <v>107</v>
      </c>
      <c r="G9" s="1">
        <v>-15.84</v>
      </c>
      <c r="H9" s="4">
        <f>IFERROR(DATEVALUE(GL_Data[[#This Row],[Date]]),GL_Data[[#This Row],[Date]])</f>
        <v>45979</v>
      </c>
      <c r="I9" s="5">
        <f>DATE(YEAR(GL_Data[[#This Row],[Date_Real]]),MONTH(GL_Data[[#This Row],[Date_Real]]),1)</f>
        <v>45962</v>
      </c>
    </row>
    <row r="10" spans="1:9" x14ac:dyDescent="0.3">
      <c r="A10" s="6" t="s">
        <v>12</v>
      </c>
      <c r="B10" t="s">
        <v>64</v>
      </c>
      <c r="C10" t="s">
        <v>69</v>
      </c>
      <c r="D10" t="s">
        <v>77</v>
      </c>
      <c r="E10" t="s">
        <v>84</v>
      </c>
      <c r="F10" t="s">
        <v>108</v>
      </c>
      <c r="G10" s="1">
        <v>-448.13</v>
      </c>
      <c r="H10" s="4">
        <f>IFERROR(DATEVALUE(GL_Data[[#This Row],[Date]]),GL_Data[[#This Row],[Date]])</f>
        <v>45980</v>
      </c>
      <c r="I10" s="5">
        <f>DATE(YEAR(GL_Data[[#This Row],[Date_Real]]),MONTH(GL_Data[[#This Row],[Date_Real]]),1)</f>
        <v>45962</v>
      </c>
    </row>
    <row r="11" spans="1:9" x14ac:dyDescent="0.3">
      <c r="A11" s="6" t="s">
        <v>10</v>
      </c>
      <c r="B11" t="s">
        <v>64</v>
      </c>
      <c r="C11" t="s">
        <v>68</v>
      </c>
      <c r="D11" t="s">
        <v>77</v>
      </c>
      <c r="E11" t="s">
        <v>88</v>
      </c>
      <c r="F11" t="s">
        <v>109</v>
      </c>
      <c r="G11" s="1">
        <v>-129.52000000000001</v>
      </c>
      <c r="H11" s="4">
        <f>IFERROR(DATEVALUE(GL_Data[[#This Row],[Date]]),GL_Data[[#This Row],[Date]])</f>
        <v>45964</v>
      </c>
      <c r="I11" s="5">
        <f>DATE(YEAR(GL_Data[[#This Row],[Date_Real]]),MONTH(GL_Data[[#This Row],[Date_Real]]),1)</f>
        <v>45962</v>
      </c>
    </row>
    <row r="12" spans="1:9" x14ac:dyDescent="0.3">
      <c r="A12" s="6" t="s">
        <v>15</v>
      </c>
      <c r="B12" t="s">
        <v>64</v>
      </c>
      <c r="C12" t="s">
        <v>70</v>
      </c>
      <c r="D12" t="s">
        <v>79</v>
      </c>
      <c r="E12" t="s">
        <v>86</v>
      </c>
      <c r="F12" t="s">
        <v>110</v>
      </c>
      <c r="G12" s="1">
        <v>-752.41</v>
      </c>
      <c r="H12" s="4">
        <f>IFERROR(DATEVALUE(GL_Data[[#This Row],[Date]]),GL_Data[[#This Row],[Date]])</f>
        <v>45986</v>
      </c>
      <c r="I12" s="5">
        <f>DATE(YEAR(GL_Data[[#This Row],[Date_Real]]),MONTH(GL_Data[[#This Row],[Date_Real]]),1)</f>
        <v>45962</v>
      </c>
    </row>
    <row r="13" spans="1:9" x14ac:dyDescent="0.3">
      <c r="A13" s="6" t="s">
        <v>13</v>
      </c>
      <c r="B13" t="s">
        <v>64</v>
      </c>
      <c r="C13" t="s">
        <v>67</v>
      </c>
      <c r="D13" t="s">
        <v>78</v>
      </c>
      <c r="E13" t="s">
        <v>82</v>
      </c>
      <c r="F13" t="s">
        <v>102</v>
      </c>
      <c r="G13" s="1">
        <v>600.54999999999995</v>
      </c>
      <c r="H13" s="4">
        <f>IFERROR(DATEVALUE(GL_Data[[#This Row],[Date]]),GL_Data[[#This Row],[Date]])</f>
        <v>45971</v>
      </c>
      <c r="I13" s="5">
        <f>DATE(YEAR(GL_Data[[#This Row],[Date_Real]]),MONTH(GL_Data[[#This Row],[Date_Real]]),1)</f>
        <v>45962</v>
      </c>
    </row>
    <row r="14" spans="1:9" x14ac:dyDescent="0.3">
      <c r="A14" s="6" t="s">
        <v>10</v>
      </c>
      <c r="B14" t="s">
        <v>64</v>
      </c>
      <c r="C14" t="s">
        <v>68</v>
      </c>
      <c r="D14" t="s">
        <v>77</v>
      </c>
      <c r="E14" t="s">
        <v>88</v>
      </c>
      <c r="F14" t="s">
        <v>111</v>
      </c>
      <c r="G14" s="1">
        <v>-112.16</v>
      </c>
      <c r="H14" s="4">
        <f>IFERROR(DATEVALUE(GL_Data[[#This Row],[Date]]),GL_Data[[#This Row],[Date]])</f>
        <v>45964</v>
      </c>
      <c r="I14" s="5">
        <f>DATE(YEAR(GL_Data[[#This Row],[Date_Real]]),MONTH(GL_Data[[#This Row],[Date_Real]]),1)</f>
        <v>45962</v>
      </c>
    </row>
    <row r="15" spans="1:9" x14ac:dyDescent="0.3">
      <c r="A15" s="6" t="s">
        <v>13</v>
      </c>
      <c r="B15" t="s">
        <v>64</v>
      </c>
      <c r="C15" t="s">
        <v>68</v>
      </c>
      <c r="D15" t="s">
        <v>77</v>
      </c>
      <c r="E15" t="s">
        <v>88</v>
      </c>
      <c r="F15" t="s">
        <v>103</v>
      </c>
      <c r="G15" s="1">
        <v>-28.54</v>
      </c>
      <c r="H15" s="4">
        <f>IFERROR(DATEVALUE(GL_Data[[#This Row],[Date]]),GL_Data[[#This Row],[Date]])</f>
        <v>45971</v>
      </c>
      <c r="I15" s="5">
        <f>DATE(YEAR(GL_Data[[#This Row],[Date_Real]]),MONTH(GL_Data[[#This Row],[Date_Real]]),1)</f>
        <v>45962</v>
      </c>
    </row>
    <row r="16" spans="1:9" x14ac:dyDescent="0.3">
      <c r="A16" s="6" t="s">
        <v>16</v>
      </c>
      <c r="B16" t="s">
        <v>64</v>
      </c>
      <c r="C16" t="s">
        <v>72</v>
      </c>
      <c r="D16" t="s">
        <v>77</v>
      </c>
      <c r="E16" t="s">
        <v>87</v>
      </c>
      <c r="F16" t="s">
        <v>112</v>
      </c>
      <c r="G16" s="1">
        <v>-87.12</v>
      </c>
      <c r="H16" s="4">
        <f>IFERROR(DATEVALUE(GL_Data[[#This Row],[Date]]),GL_Data[[#This Row],[Date]])</f>
        <v>45967</v>
      </c>
      <c r="I16" s="5">
        <f>DATE(YEAR(GL_Data[[#This Row],[Date_Real]]),MONTH(GL_Data[[#This Row],[Date_Real]]),1)</f>
        <v>45962</v>
      </c>
    </row>
    <row r="17" spans="1:9" x14ac:dyDescent="0.3">
      <c r="A17" s="6" t="s">
        <v>17</v>
      </c>
      <c r="B17" t="s">
        <v>64</v>
      </c>
      <c r="C17" t="s">
        <v>67</v>
      </c>
      <c r="D17" t="s">
        <v>78</v>
      </c>
      <c r="E17" t="s">
        <v>82</v>
      </c>
      <c r="F17" t="s">
        <v>113</v>
      </c>
      <c r="G17" s="1">
        <v>1553.02</v>
      </c>
      <c r="H17" s="4">
        <f>IFERROR(DATEVALUE(GL_Data[[#This Row],[Date]]),GL_Data[[#This Row],[Date]])</f>
        <v>45975</v>
      </c>
      <c r="I17" s="5">
        <f>DATE(YEAR(GL_Data[[#This Row],[Date_Real]]),MONTH(GL_Data[[#This Row],[Date_Real]]),1)</f>
        <v>45962</v>
      </c>
    </row>
    <row r="18" spans="1:9" x14ac:dyDescent="0.3">
      <c r="A18" s="6" t="s">
        <v>12</v>
      </c>
      <c r="B18" t="s">
        <v>64</v>
      </c>
      <c r="C18" t="s">
        <v>71</v>
      </c>
      <c r="D18" t="s">
        <v>77</v>
      </c>
      <c r="E18" t="s">
        <v>87</v>
      </c>
      <c r="F18" t="s">
        <v>114</v>
      </c>
      <c r="G18" s="1">
        <v>-54.1</v>
      </c>
      <c r="H18" s="4">
        <f>IFERROR(DATEVALUE(GL_Data[[#This Row],[Date]]),GL_Data[[#This Row],[Date]])</f>
        <v>45980</v>
      </c>
      <c r="I18" s="5">
        <f>DATE(YEAR(GL_Data[[#This Row],[Date_Real]]),MONTH(GL_Data[[#This Row],[Date_Real]]),1)</f>
        <v>45962</v>
      </c>
    </row>
    <row r="19" spans="1:9" x14ac:dyDescent="0.3">
      <c r="A19" s="6" t="s">
        <v>18</v>
      </c>
      <c r="B19" t="s">
        <v>64</v>
      </c>
      <c r="C19" t="s">
        <v>70</v>
      </c>
      <c r="D19" t="s">
        <v>79</v>
      </c>
      <c r="E19" t="s">
        <v>89</v>
      </c>
      <c r="F19" t="s">
        <v>110</v>
      </c>
      <c r="G19" s="1">
        <v>-656.41</v>
      </c>
      <c r="H19" s="4">
        <f>IFERROR(DATEVALUE(GL_Data[[#This Row],[Date]]),GL_Data[[#This Row],[Date]])</f>
        <v>45984</v>
      </c>
      <c r="I19" s="5">
        <f>DATE(YEAR(GL_Data[[#This Row],[Date_Real]]),MONTH(GL_Data[[#This Row],[Date_Real]]),1)</f>
        <v>45962</v>
      </c>
    </row>
    <row r="20" spans="1:9" x14ac:dyDescent="0.3">
      <c r="A20" s="6" t="s">
        <v>8</v>
      </c>
      <c r="B20" t="s">
        <v>64</v>
      </c>
      <c r="C20" t="s">
        <v>67</v>
      </c>
      <c r="D20" t="s">
        <v>78</v>
      </c>
      <c r="E20" t="s">
        <v>82</v>
      </c>
      <c r="F20" t="s">
        <v>115</v>
      </c>
      <c r="G20" s="1">
        <v>776.38</v>
      </c>
      <c r="H20" s="4">
        <f>IFERROR(DATEVALUE(GL_Data[[#This Row],[Date]]),GL_Data[[#This Row],[Date]])</f>
        <v>45988</v>
      </c>
      <c r="I20" s="5">
        <f>DATE(YEAR(GL_Data[[#This Row],[Date_Real]]),MONTH(GL_Data[[#This Row],[Date_Real]]),1)</f>
        <v>45962</v>
      </c>
    </row>
    <row r="21" spans="1:9" x14ac:dyDescent="0.3">
      <c r="A21" s="6" t="s">
        <v>9</v>
      </c>
      <c r="B21" t="s">
        <v>64</v>
      </c>
      <c r="C21" t="s">
        <v>72</v>
      </c>
      <c r="D21" t="s">
        <v>77</v>
      </c>
      <c r="E21" t="s">
        <v>87</v>
      </c>
      <c r="F21" t="s">
        <v>107</v>
      </c>
      <c r="G21" s="1">
        <v>-135.97999999999999</v>
      </c>
      <c r="H21" s="4">
        <f>IFERROR(DATEVALUE(GL_Data[[#This Row],[Date]]),GL_Data[[#This Row],[Date]])</f>
        <v>45963</v>
      </c>
      <c r="I21" s="5">
        <f>DATE(YEAR(GL_Data[[#This Row],[Date_Real]]),MONTH(GL_Data[[#This Row],[Date_Real]]),1)</f>
        <v>45962</v>
      </c>
    </row>
    <row r="22" spans="1:9" x14ac:dyDescent="0.3">
      <c r="A22" s="6" t="s">
        <v>19</v>
      </c>
      <c r="B22" t="s">
        <v>64</v>
      </c>
      <c r="C22" t="s">
        <v>71</v>
      </c>
      <c r="D22" t="s">
        <v>77</v>
      </c>
      <c r="E22" t="s">
        <v>87</v>
      </c>
      <c r="F22" t="s">
        <v>112</v>
      </c>
      <c r="G22" s="1">
        <v>-22.08</v>
      </c>
      <c r="H22" s="4">
        <f>IFERROR(DATEVALUE(GL_Data[[#This Row],[Date]]),GL_Data[[#This Row],[Date]])</f>
        <v>45983</v>
      </c>
      <c r="I22" s="5">
        <f>DATE(YEAR(GL_Data[[#This Row],[Date_Real]]),MONTH(GL_Data[[#This Row],[Date_Real]]),1)</f>
        <v>45962</v>
      </c>
    </row>
    <row r="23" spans="1:9" x14ac:dyDescent="0.3">
      <c r="A23" s="6" t="s">
        <v>20</v>
      </c>
      <c r="B23" t="s">
        <v>64</v>
      </c>
      <c r="C23" t="s">
        <v>69</v>
      </c>
      <c r="D23" t="s">
        <v>77</v>
      </c>
      <c r="E23" t="s">
        <v>90</v>
      </c>
      <c r="F23" t="s">
        <v>116</v>
      </c>
      <c r="G23" s="1">
        <v>-196.25</v>
      </c>
      <c r="H23" s="4">
        <f>IFERROR(DATEVALUE(GL_Data[[#This Row],[Date]]),GL_Data[[#This Row],[Date]])</f>
        <v>45990</v>
      </c>
      <c r="I23" s="5">
        <f>DATE(YEAR(GL_Data[[#This Row],[Date_Real]]),MONTH(GL_Data[[#This Row],[Date_Real]]),1)</f>
        <v>45962</v>
      </c>
    </row>
    <row r="24" spans="1:9" x14ac:dyDescent="0.3">
      <c r="A24" s="6" t="s">
        <v>16</v>
      </c>
      <c r="B24" t="s">
        <v>64</v>
      </c>
      <c r="C24" t="s">
        <v>68</v>
      </c>
      <c r="D24" t="s">
        <v>77</v>
      </c>
      <c r="E24" t="s">
        <v>91</v>
      </c>
      <c r="F24" t="s">
        <v>117</v>
      </c>
      <c r="G24" s="1">
        <v>-106.33</v>
      </c>
      <c r="H24" s="4">
        <f>IFERROR(DATEVALUE(GL_Data[[#This Row],[Date]]),GL_Data[[#This Row],[Date]])</f>
        <v>45967</v>
      </c>
      <c r="I24" s="5">
        <f>DATE(YEAR(GL_Data[[#This Row],[Date_Real]]),MONTH(GL_Data[[#This Row],[Date_Real]]),1)</f>
        <v>45962</v>
      </c>
    </row>
    <row r="25" spans="1:9" x14ac:dyDescent="0.3">
      <c r="A25" s="6" t="s">
        <v>21</v>
      </c>
      <c r="B25" t="s">
        <v>64</v>
      </c>
      <c r="C25" t="s">
        <v>72</v>
      </c>
      <c r="D25" t="s">
        <v>77</v>
      </c>
      <c r="E25" t="s">
        <v>87</v>
      </c>
      <c r="F25" t="s">
        <v>112</v>
      </c>
      <c r="G25" s="1">
        <v>-163.35</v>
      </c>
      <c r="H25" s="4">
        <f>IFERROR(DATEVALUE(GL_Data[[#This Row],[Date]]),GL_Data[[#This Row],[Date]])</f>
        <v>45966</v>
      </c>
      <c r="I25" s="5">
        <f>DATE(YEAR(GL_Data[[#This Row],[Date_Real]]),MONTH(GL_Data[[#This Row],[Date_Real]]),1)</f>
        <v>45962</v>
      </c>
    </row>
    <row r="26" spans="1:9" x14ac:dyDescent="0.3">
      <c r="A26" s="6" t="s">
        <v>10</v>
      </c>
      <c r="B26" t="s">
        <v>64</v>
      </c>
      <c r="C26" t="s">
        <v>67</v>
      </c>
      <c r="D26" t="s">
        <v>78</v>
      </c>
      <c r="E26" t="s">
        <v>82</v>
      </c>
      <c r="F26" t="s">
        <v>118</v>
      </c>
      <c r="G26" s="1">
        <v>1033.21</v>
      </c>
      <c r="H26" s="4">
        <f>IFERROR(DATEVALUE(GL_Data[[#This Row],[Date]]),GL_Data[[#This Row],[Date]])</f>
        <v>45964</v>
      </c>
      <c r="I26" s="5">
        <f>DATE(YEAR(GL_Data[[#This Row],[Date_Real]]),MONTH(GL_Data[[#This Row],[Date_Real]]),1)</f>
        <v>45962</v>
      </c>
    </row>
    <row r="27" spans="1:9" x14ac:dyDescent="0.3">
      <c r="A27" s="6" t="s">
        <v>20</v>
      </c>
      <c r="B27" t="s">
        <v>64</v>
      </c>
      <c r="C27" t="s">
        <v>67</v>
      </c>
      <c r="D27" t="s">
        <v>78</v>
      </c>
      <c r="E27" t="s">
        <v>82</v>
      </c>
      <c r="F27" t="s">
        <v>113</v>
      </c>
      <c r="G27" s="1">
        <v>1089.52</v>
      </c>
      <c r="H27" s="4">
        <f>IFERROR(DATEVALUE(GL_Data[[#This Row],[Date]]),GL_Data[[#This Row],[Date]])</f>
        <v>45990</v>
      </c>
      <c r="I27" s="5">
        <f>DATE(YEAR(GL_Data[[#This Row],[Date_Real]]),MONTH(GL_Data[[#This Row],[Date_Real]]),1)</f>
        <v>45962</v>
      </c>
    </row>
    <row r="28" spans="1:9" x14ac:dyDescent="0.3">
      <c r="A28" s="6" t="s">
        <v>22</v>
      </c>
      <c r="B28" t="s">
        <v>64</v>
      </c>
      <c r="C28" t="s">
        <v>69</v>
      </c>
      <c r="D28" t="s">
        <v>77</v>
      </c>
      <c r="E28" t="s">
        <v>92</v>
      </c>
      <c r="F28" t="s">
        <v>116</v>
      </c>
      <c r="G28" s="1">
        <v>-890.26</v>
      </c>
      <c r="H28" s="4">
        <f>IFERROR(DATEVALUE(GL_Data[[#This Row],[Date]]),GL_Data[[#This Row],[Date]])</f>
        <v>45970</v>
      </c>
      <c r="I28" s="5">
        <f>DATE(YEAR(GL_Data[[#This Row],[Date_Real]]),MONTH(GL_Data[[#This Row],[Date_Real]]),1)</f>
        <v>45962</v>
      </c>
    </row>
    <row r="29" spans="1:9" x14ac:dyDescent="0.3">
      <c r="A29" s="6" t="s">
        <v>21</v>
      </c>
      <c r="B29" t="s">
        <v>64</v>
      </c>
      <c r="C29" t="s">
        <v>67</v>
      </c>
      <c r="D29" t="s">
        <v>78</v>
      </c>
      <c r="E29" t="s">
        <v>82</v>
      </c>
      <c r="F29" t="s">
        <v>102</v>
      </c>
      <c r="G29" s="1">
        <v>545.03</v>
      </c>
      <c r="H29" s="4">
        <f>IFERROR(DATEVALUE(GL_Data[[#This Row],[Date]]),GL_Data[[#This Row],[Date]])</f>
        <v>45966</v>
      </c>
      <c r="I29" s="5">
        <f>DATE(YEAR(GL_Data[[#This Row],[Date_Real]]),MONTH(GL_Data[[#This Row],[Date_Real]]),1)</f>
        <v>45962</v>
      </c>
    </row>
    <row r="30" spans="1:9" x14ac:dyDescent="0.3">
      <c r="A30" s="6" t="s">
        <v>23</v>
      </c>
      <c r="B30" t="s">
        <v>64</v>
      </c>
      <c r="C30" t="s">
        <v>66</v>
      </c>
      <c r="D30" t="s">
        <v>77</v>
      </c>
      <c r="E30" t="s">
        <v>93</v>
      </c>
      <c r="F30" t="s">
        <v>119</v>
      </c>
      <c r="G30" s="1">
        <v>-114.26</v>
      </c>
      <c r="H30" s="4">
        <f>IFERROR(DATEVALUE(GL_Data[[#This Row],[Date]]),GL_Data[[#This Row],[Date]])</f>
        <v>45962</v>
      </c>
      <c r="I30" s="5">
        <f>DATE(YEAR(GL_Data[[#This Row],[Date_Real]]),MONTH(GL_Data[[#This Row],[Date_Real]]),1)</f>
        <v>45962</v>
      </c>
    </row>
    <row r="31" spans="1:9" x14ac:dyDescent="0.3">
      <c r="A31" s="6" t="s">
        <v>23</v>
      </c>
      <c r="B31" t="s">
        <v>64</v>
      </c>
      <c r="C31" t="s">
        <v>67</v>
      </c>
      <c r="D31" t="s">
        <v>78</v>
      </c>
      <c r="E31" t="s">
        <v>82</v>
      </c>
      <c r="F31" t="s">
        <v>113</v>
      </c>
      <c r="G31" s="1">
        <v>1292.45</v>
      </c>
      <c r="H31" s="4">
        <f>IFERROR(DATEVALUE(GL_Data[[#This Row],[Date]]),GL_Data[[#This Row],[Date]])</f>
        <v>45962</v>
      </c>
      <c r="I31" s="5">
        <f>DATE(YEAR(GL_Data[[#This Row],[Date_Real]]),MONTH(GL_Data[[#This Row],[Date_Real]]),1)</f>
        <v>45962</v>
      </c>
    </row>
    <row r="32" spans="1:9" x14ac:dyDescent="0.3">
      <c r="A32" s="6" t="s">
        <v>12</v>
      </c>
      <c r="B32" t="s">
        <v>64</v>
      </c>
      <c r="C32" t="s">
        <v>70</v>
      </c>
      <c r="D32" t="s">
        <v>79</v>
      </c>
      <c r="E32" t="s">
        <v>89</v>
      </c>
      <c r="F32" t="s">
        <v>106</v>
      </c>
      <c r="G32" s="1">
        <v>-255.53</v>
      </c>
      <c r="H32" s="4">
        <f>IFERROR(DATEVALUE(GL_Data[[#This Row],[Date]]),GL_Data[[#This Row],[Date]])</f>
        <v>45980</v>
      </c>
      <c r="I32" s="5">
        <f>DATE(YEAR(GL_Data[[#This Row],[Date_Real]]),MONTH(GL_Data[[#This Row],[Date_Real]]),1)</f>
        <v>45962</v>
      </c>
    </row>
    <row r="33" spans="1:9" x14ac:dyDescent="0.3">
      <c r="A33" s="6" t="s">
        <v>24</v>
      </c>
      <c r="B33" t="s">
        <v>64</v>
      </c>
      <c r="C33" t="s">
        <v>73</v>
      </c>
      <c r="D33" t="s">
        <v>77</v>
      </c>
      <c r="E33" t="s">
        <v>87</v>
      </c>
      <c r="F33" t="s">
        <v>107</v>
      </c>
      <c r="G33" s="1">
        <v>-72.400000000000006</v>
      </c>
      <c r="H33" s="4">
        <f>IFERROR(DATEVALUE(GL_Data[[#This Row],[Date]]),GL_Data[[#This Row],[Date]])</f>
        <v>45976</v>
      </c>
      <c r="I33" s="5">
        <f>DATE(YEAR(GL_Data[[#This Row],[Date_Real]]),MONTH(GL_Data[[#This Row],[Date_Real]]),1)</f>
        <v>45962</v>
      </c>
    </row>
    <row r="34" spans="1:9" x14ac:dyDescent="0.3">
      <c r="A34" s="6" t="s">
        <v>25</v>
      </c>
      <c r="B34" t="s">
        <v>64</v>
      </c>
      <c r="C34" t="s">
        <v>70</v>
      </c>
      <c r="D34" t="s">
        <v>79</v>
      </c>
      <c r="E34" t="s">
        <v>94</v>
      </c>
      <c r="F34" t="s">
        <v>110</v>
      </c>
      <c r="G34" s="1">
        <v>-545.65</v>
      </c>
      <c r="H34" s="4">
        <f>IFERROR(DATEVALUE(GL_Data[[#This Row],[Date]]),GL_Data[[#This Row],[Date]])</f>
        <v>45974</v>
      </c>
      <c r="I34" s="5">
        <f>DATE(YEAR(GL_Data[[#This Row],[Date_Real]]),MONTH(GL_Data[[#This Row],[Date_Real]]),1)</f>
        <v>45962</v>
      </c>
    </row>
    <row r="35" spans="1:9" x14ac:dyDescent="0.3">
      <c r="A35" s="6" t="s">
        <v>9</v>
      </c>
      <c r="B35" t="s">
        <v>64</v>
      </c>
      <c r="C35" t="s">
        <v>67</v>
      </c>
      <c r="D35" t="s">
        <v>78</v>
      </c>
      <c r="E35" t="s">
        <v>82</v>
      </c>
      <c r="F35" t="s">
        <v>120</v>
      </c>
      <c r="G35" s="1">
        <v>2170.1</v>
      </c>
      <c r="H35" s="4">
        <f>IFERROR(DATEVALUE(GL_Data[[#This Row],[Date]]),GL_Data[[#This Row],[Date]])</f>
        <v>45963</v>
      </c>
      <c r="I35" s="5">
        <f>DATE(YEAR(GL_Data[[#This Row],[Date_Real]]),MONTH(GL_Data[[#This Row],[Date_Real]]),1)</f>
        <v>45962</v>
      </c>
    </row>
    <row r="36" spans="1:9" x14ac:dyDescent="0.3">
      <c r="A36" s="6" t="s">
        <v>16</v>
      </c>
      <c r="B36" t="s">
        <v>64</v>
      </c>
      <c r="C36" t="s">
        <v>67</v>
      </c>
      <c r="D36" t="s">
        <v>78</v>
      </c>
      <c r="E36" t="s">
        <v>82</v>
      </c>
      <c r="F36" t="s">
        <v>115</v>
      </c>
      <c r="G36" s="1">
        <v>1421.42</v>
      </c>
      <c r="H36" s="4">
        <f>IFERROR(DATEVALUE(GL_Data[[#This Row],[Date]]),GL_Data[[#This Row],[Date]])</f>
        <v>45967</v>
      </c>
      <c r="I36" s="5">
        <f>DATE(YEAR(GL_Data[[#This Row],[Date_Real]]),MONTH(GL_Data[[#This Row],[Date_Real]]),1)</f>
        <v>45962</v>
      </c>
    </row>
    <row r="37" spans="1:9" x14ac:dyDescent="0.3">
      <c r="A37" s="6" t="s">
        <v>23</v>
      </c>
      <c r="B37" t="s">
        <v>64</v>
      </c>
      <c r="C37" t="s">
        <v>68</v>
      </c>
      <c r="D37" t="s">
        <v>77</v>
      </c>
      <c r="E37" t="s">
        <v>83</v>
      </c>
      <c r="F37" t="s">
        <v>111</v>
      </c>
      <c r="G37" s="1">
        <v>-114.27</v>
      </c>
      <c r="H37" s="4">
        <f>IFERROR(DATEVALUE(GL_Data[[#This Row],[Date]]),GL_Data[[#This Row],[Date]])</f>
        <v>45962</v>
      </c>
      <c r="I37" s="5">
        <f>DATE(YEAR(GL_Data[[#This Row],[Date_Real]]),MONTH(GL_Data[[#This Row],[Date_Real]]),1)</f>
        <v>45962</v>
      </c>
    </row>
    <row r="38" spans="1:9" x14ac:dyDescent="0.3">
      <c r="A38" s="6" t="s">
        <v>10</v>
      </c>
      <c r="B38" t="s">
        <v>64</v>
      </c>
      <c r="C38" t="s">
        <v>74</v>
      </c>
      <c r="D38" t="s">
        <v>77</v>
      </c>
      <c r="E38" t="s">
        <v>87</v>
      </c>
      <c r="F38" t="s">
        <v>121</v>
      </c>
      <c r="G38" s="1">
        <v>-211.41</v>
      </c>
      <c r="H38" s="4">
        <f>IFERROR(DATEVALUE(GL_Data[[#This Row],[Date]]),GL_Data[[#This Row],[Date]])</f>
        <v>45964</v>
      </c>
      <c r="I38" s="5">
        <f>DATE(YEAR(GL_Data[[#This Row],[Date_Real]]),MONTH(GL_Data[[#This Row],[Date_Real]]),1)</f>
        <v>45962</v>
      </c>
    </row>
    <row r="39" spans="1:9" x14ac:dyDescent="0.3">
      <c r="A39" s="6" t="s">
        <v>26</v>
      </c>
      <c r="B39" t="s">
        <v>64</v>
      </c>
      <c r="C39" t="s">
        <v>70</v>
      </c>
      <c r="D39" t="s">
        <v>79</v>
      </c>
      <c r="E39" t="s">
        <v>94</v>
      </c>
      <c r="F39" t="s">
        <v>122</v>
      </c>
      <c r="G39" s="1">
        <v>-495.18</v>
      </c>
      <c r="H39" s="4">
        <f>IFERROR(DATEVALUE(GL_Data[[#This Row],[Date]]),GL_Data[[#This Row],[Date]])</f>
        <v>45982</v>
      </c>
      <c r="I39" s="5">
        <f>DATE(YEAR(GL_Data[[#This Row],[Date_Real]]),MONTH(GL_Data[[#This Row],[Date_Real]]),1)</f>
        <v>45962</v>
      </c>
    </row>
    <row r="40" spans="1:9" x14ac:dyDescent="0.3">
      <c r="A40" s="6" t="s">
        <v>27</v>
      </c>
      <c r="B40" t="s">
        <v>64</v>
      </c>
      <c r="C40" t="s">
        <v>67</v>
      </c>
      <c r="D40" t="s">
        <v>78</v>
      </c>
      <c r="E40" t="s">
        <v>82</v>
      </c>
      <c r="F40" t="s">
        <v>120</v>
      </c>
      <c r="G40" s="1">
        <v>1201.73</v>
      </c>
      <c r="H40" s="4">
        <f>IFERROR(DATEVALUE(GL_Data[[#This Row],[Date]]),GL_Data[[#This Row],[Date]])</f>
        <v>45965</v>
      </c>
      <c r="I40" s="5">
        <f>DATE(YEAR(GL_Data[[#This Row],[Date_Real]]),MONTH(GL_Data[[#This Row],[Date_Real]]),1)</f>
        <v>45962</v>
      </c>
    </row>
    <row r="41" spans="1:9" x14ac:dyDescent="0.3">
      <c r="A41" s="6" t="s">
        <v>28</v>
      </c>
      <c r="B41" t="s">
        <v>64</v>
      </c>
      <c r="C41" t="s">
        <v>66</v>
      </c>
      <c r="D41" t="s">
        <v>77</v>
      </c>
      <c r="E41" t="s">
        <v>93</v>
      </c>
      <c r="F41" t="s">
        <v>101</v>
      </c>
      <c r="G41" s="1">
        <v>-33.74</v>
      </c>
      <c r="H41" s="4">
        <f>IFERROR(DATEVALUE(GL_Data[[#This Row],[Date]]),GL_Data[[#This Row],[Date]])</f>
        <v>45977</v>
      </c>
      <c r="I41" s="5">
        <f>DATE(YEAR(GL_Data[[#This Row],[Date_Real]]),MONTH(GL_Data[[#This Row],[Date_Real]]),1)</f>
        <v>45962</v>
      </c>
    </row>
    <row r="42" spans="1:9" x14ac:dyDescent="0.3">
      <c r="A42" s="6" t="s">
        <v>29</v>
      </c>
      <c r="B42" t="s">
        <v>64</v>
      </c>
      <c r="C42" t="s">
        <v>70</v>
      </c>
      <c r="D42" t="s">
        <v>79</v>
      </c>
      <c r="E42" t="s">
        <v>89</v>
      </c>
      <c r="F42" t="s">
        <v>123</v>
      </c>
      <c r="G42" s="1">
        <v>-1015.16</v>
      </c>
      <c r="H42" s="4">
        <f>IFERROR(DATEVALUE(GL_Data[[#This Row],[Date]]),GL_Data[[#This Row],[Date]])</f>
        <v>45985</v>
      </c>
      <c r="I42" s="5">
        <f>DATE(YEAR(GL_Data[[#This Row],[Date_Real]]),MONTH(GL_Data[[#This Row],[Date_Real]]),1)</f>
        <v>45962</v>
      </c>
    </row>
    <row r="43" spans="1:9" x14ac:dyDescent="0.3">
      <c r="A43" s="6" t="s">
        <v>30</v>
      </c>
      <c r="B43" t="s">
        <v>64</v>
      </c>
      <c r="C43" t="s">
        <v>65</v>
      </c>
      <c r="D43" t="s">
        <v>76</v>
      </c>
      <c r="E43" t="s">
        <v>95</v>
      </c>
      <c r="F43" t="s">
        <v>124</v>
      </c>
      <c r="G43" s="1">
        <v>-196.68</v>
      </c>
      <c r="H43" s="4">
        <f>IFERROR(DATEVALUE(GL_Data[[#This Row],[Date]]),GL_Data[[#This Row],[Date]])</f>
        <v>45968</v>
      </c>
      <c r="I43" s="5">
        <f>DATE(YEAR(GL_Data[[#This Row],[Date_Real]]),MONTH(GL_Data[[#This Row],[Date_Real]]),1)</f>
        <v>45962</v>
      </c>
    </row>
    <row r="44" spans="1:9" x14ac:dyDescent="0.3">
      <c r="A44" s="6" t="s">
        <v>14</v>
      </c>
      <c r="B44" t="s">
        <v>64</v>
      </c>
      <c r="C44" t="s">
        <v>75</v>
      </c>
      <c r="D44" t="s">
        <v>77</v>
      </c>
      <c r="E44" t="s">
        <v>87</v>
      </c>
      <c r="F44" t="s">
        <v>114</v>
      </c>
      <c r="G44" s="1">
        <v>-93.4</v>
      </c>
      <c r="H44" s="4">
        <f>IFERROR(DATEVALUE(GL_Data[[#This Row],[Date]]),GL_Data[[#This Row],[Date]])</f>
        <v>45979</v>
      </c>
      <c r="I44" s="5">
        <f>DATE(YEAR(GL_Data[[#This Row],[Date_Real]]),MONTH(GL_Data[[#This Row],[Date_Real]]),1)</f>
        <v>45962</v>
      </c>
    </row>
    <row r="45" spans="1:9" x14ac:dyDescent="0.3">
      <c r="A45" s="6" t="s">
        <v>26</v>
      </c>
      <c r="B45" t="s">
        <v>64</v>
      </c>
      <c r="C45" t="s">
        <v>74</v>
      </c>
      <c r="D45" t="s">
        <v>77</v>
      </c>
      <c r="E45" t="s">
        <v>87</v>
      </c>
      <c r="F45" t="s">
        <v>114</v>
      </c>
      <c r="G45" s="1">
        <v>-219.62</v>
      </c>
      <c r="H45" s="4">
        <f>IFERROR(DATEVALUE(GL_Data[[#This Row],[Date]]),GL_Data[[#This Row],[Date]])</f>
        <v>45982</v>
      </c>
      <c r="I45" s="5">
        <f>DATE(YEAR(GL_Data[[#This Row],[Date_Real]]),MONTH(GL_Data[[#This Row],[Date_Real]]),1)</f>
        <v>45962</v>
      </c>
    </row>
    <row r="46" spans="1:9" x14ac:dyDescent="0.3">
      <c r="A46" s="6" t="s">
        <v>31</v>
      </c>
      <c r="B46" t="s">
        <v>64</v>
      </c>
      <c r="C46" t="s">
        <v>70</v>
      </c>
      <c r="D46" t="s">
        <v>79</v>
      </c>
      <c r="E46" t="s">
        <v>86</v>
      </c>
      <c r="F46" t="s">
        <v>123</v>
      </c>
      <c r="G46" s="1">
        <v>-300.41000000000003</v>
      </c>
      <c r="H46" s="4">
        <f>IFERROR(DATEVALUE(GL_Data[[#This Row],[Date]]),GL_Data[[#This Row],[Date]])</f>
        <v>45978</v>
      </c>
      <c r="I46" s="5">
        <f>DATE(YEAR(GL_Data[[#This Row],[Date_Real]]),MONTH(GL_Data[[#This Row],[Date_Real]]),1)</f>
        <v>45962</v>
      </c>
    </row>
    <row r="47" spans="1:9" x14ac:dyDescent="0.3">
      <c r="A47" s="6" t="s">
        <v>26</v>
      </c>
      <c r="B47" t="s">
        <v>64</v>
      </c>
      <c r="C47" t="s">
        <v>67</v>
      </c>
      <c r="D47" t="s">
        <v>78</v>
      </c>
      <c r="E47" t="s">
        <v>82</v>
      </c>
      <c r="F47" t="s">
        <v>102</v>
      </c>
      <c r="G47" s="1">
        <v>1832.45</v>
      </c>
      <c r="H47" s="4">
        <f>IFERROR(DATEVALUE(GL_Data[[#This Row],[Date]]),GL_Data[[#This Row],[Date]])</f>
        <v>45982</v>
      </c>
      <c r="I47" s="5">
        <f>DATE(YEAR(GL_Data[[#This Row],[Date_Real]]),MONTH(GL_Data[[#This Row],[Date_Real]]),1)</f>
        <v>45962</v>
      </c>
    </row>
    <row r="48" spans="1:9" x14ac:dyDescent="0.3">
      <c r="A48" s="6" t="s">
        <v>32</v>
      </c>
      <c r="B48" t="s">
        <v>64</v>
      </c>
      <c r="C48" t="s">
        <v>67</v>
      </c>
      <c r="D48" t="s">
        <v>78</v>
      </c>
      <c r="E48" t="s">
        <v>82</v>
      </c>
      <c r="F48" t="s">
        <v>102</v>
      </c>
      <c r="G48" s="1">
        <v>1031.33</v>
      </c>
      <c r="H48" s="4">
        <f>IFERROR(DATEVALUE(GL_Data[[#This Row],[Date]]),GL_Data[[#This Row],[Date]])</f>
        <v>45987</v>
      </c>
      <c r="I48" s="5">
        <f>DATE(YEAR(GL_Data[[#This Row],[Date_Real]]),MONTH(GL_Data[[#This Row],[Date_Real]]),1)</f>
        <v>45962</v>
      </c>
    </row>
    <row r="49" spans="1:9" x14ac:dyDescent="0.3">
      <c r="A49" s="6" t="s">
        <v>30</v>
      </c>
      <c r="B49" t="s">
        <v>64</v>
      </c>
      <c r="C49" t="s">
        <v>66</v>
      </c>
      <c r="D49" t="s">
        <v>77</v>
      </c>
      <c r="E49" t="s">
        <v>96</v>
      </c>
      <c r="F49" t="s">
        <v>101</v>
      </c>
      <c r="G49" s="1">
        <v>-76.89</v>
      </c>
      <c r="H49" s="4">
        <f>IFERROR(DATEVALUE(GL_Data[[#This Row],[Date]]),GL_Data[[#This Row],[Date]])</f>
        <v>45968</v>
      </c>
      <c r="I49" s="5">
        <f>DATE(YEAR(GL_Data[[#This Row],[Date_Real]]),MONTH(GL_Data[[#This Row],[Date_Real]]),1)</f>
        <v>45962</v>
      </c>
    </row>
    <row r="50" spans="1:9" x14ac:dyDescent="0.3">
      <c r="A50" s="6" t="s">
        <v>32</v>
      </c>
      <c r="B50" t="s">
        <v>64</v>
      </c>
      <c r="C50" t="s">
        <v>70</v>
      </c>
      <c r="D50" t="s">
        <v>79</v>
      </c>
      <c r="E50" t="s">
        <v>86</v>
      </c>
      <c r="F50" t="s">
        <v>106</v>
      </c>
      <c r="G50" s="1">
        <v>-399.91</v>
      </c>
      <c r="H50" s="4">
        <f>IFERROR(DATEVALUE(GL_Data[[#This Row],[Date]]),GL_Data[[#This Row],[Date]])</f>
        <v>45987</v>
      </c>
      <c r="I50" s="5">
        <f>DATE(YEAR(GL_Data[[#This Row],[Date_Real]]),MONTH(GL_Data[[#This Row],[Date_Real]]),1)</f>
        <v>45962</v>
      </c>
    </row>
    <row r="51" spans="1:9" x14ac:dyDescent="0.3">
      <c r="A51" s="6" t="s">
        <v>24</v>
      </c>
      <c r="B51" t="s">
        <v>64</v>
      </c>
      <c r="C51" t="s">
        <v>71</v>
      </c>
      <c r="D51" t="s">
        <v>77</v>
      </c>
      <c r="E51" t="s">
        <v>87</v>
      </c>
      <c r="F51" t="s">
        <v>114</v>
      </c>
      <c r="G51" s="1">
        <v>-48.39</v>
      </c>
      <c r="H51" s="4">
        <f>IFERROR(DATEVALUE(GL_Data[[#This Row],[Date]]),GL_Data[[#This Row],[Date]])</f>
        <v>45976</v>
      </c>
      <c r="I51" s="5">
        <f>DATE(YEAR(GL_Data[[#This Row],[Date_Real]]),MONTH(GL_Data[[#This Row],[Date_Real]]),1)</f>
        <v>45962</v>
      </c>
    </row>
    <row r="52" spans="1:9" x14ac:dyDescent="0.3">
      <c r="A52" s="6" t="s">
        <v>33</v>
      </c>
      <c r="B52" t="s">
        <v>64</v>
      </c>
      <c r="C52" t="s">
        <v>67</v>
      </c>
      <c r="D52" t="s">
        <v>78</v>
      </c>
      <c r="E52" t="s">
        <v>82</v>
      </c>
      <c r="F52" t="s">
        <v>120</v>
      </c>
      <c r="G52" s="1">
        <v>449.21</v>
      </c>
      <c r="H52" s="4">
        <f>IFERROR(DATEVALUE(GL_Data[[#This Row],[Date]]),GL_Data[[#This Row],[Date]])</f>
        <v>45973</v>
      </c>
      <c r="I52" s="5">
        <f>DATE(YEAR(GL_Data[[#This Row],[Date_Real]]),MONTH(GL_Data[[#This Row],[Date_Real]]),1)</f>
        <v>45962</v>
      </c>
    </row>
    <row r="53" spans="1:9" x14ac:dyDescent="0.3">
      <c r="A53" s="6" t="s">
        <v>30</v>
      </c>
      <c r="B53" t="s">
        <v>64</v>
      </c>
      <c r="C53" t="s">
        <v>70</v>
      </c>
      <c r="D53" t="s">
        <v>79</v>
      </c>
      <c r="E53" t="s">
        <v>89</v>
      </c>
      <c r="F53" t="s">
        <v>106</v>
      </c>
      <c r="G53" s="1">
        <v>-641.27</v>
      </c>
      <c r="H53" s="4">
        <f>IFERROR(DATEVALUE(GL_Data[[#This Row],[Date]]),GL_Data[[#This Row],[Date]])</f>
        <v>45968</v>
      </c>
      <c r="I53" s="5">
        <f>DATE(YEAR(GL_Data[[#This Row],[Date_Real]]),MONTH(GL_Data[[#This Row],[Date_Real]]),1)</f>
        <v>45962</v>
      </c>
    </row>
    <row r="54" spans="1:9" x14ac:dyDescent="0.3">
      <c r="A54" s="6" t="s">
        <v>28</v>
      </c>
      <c r="B54" t="s">
        <v>64</v>
      </c>
      <c r="C54" t="s">
        <v>73</v>
      </c>
      <c r="D54" t="s">
        <v>77</v>
      </c>
      <c r="E54" t="s">
        <v>87</v>
      </c>
      <c r="F54" t="s">
        <v>125</v>
      </c>
      <c r="G54" s="1">
        <v>-37.520000000000003</v>
      </c>
      <c r="H54" s="4">
        <f>IFERROR(DATEVALUE(GL_Data[[#This Row],[Date]]),GL_Data[[#This Row],[Date]])</f>
        <v>45977</v>
      </c>
      <c r="I54" s="5">
        <f>DATE(YEAR(GL_Data[[#This Row],[Date_Real]]),MONTH(GL_Data[[#This Row],[Date_Real]]),1)</f>
        <v>45962</v>
      </c>
    </row>
    <row r="55" spans="1:9" x14ac:dyDescent="0.3">
      <c r="A55" s="6" t="s">
        <v>8</v>
      </c>
      <c r="B55" t="s">
        <v>64</v>
      </c>
      <c r="C55" t="s">
        <v>69</v>
      </c>
      <c r="D55" t="s">
        <v>77</v>
      </c>
      <c r="E55" t="s">
        <v>90</v>
      </c>
      <c r="F55" t="s">
        <v>126</v>
      </c>
      <c r="G55" s="1">
        <v>-835.04</v>
      </c>
      <c r="H55" s="4">
        <f>IFERROR(DATEVALUE(GL_Data[[#This Row],[Date]]),GL_Data[[#This Row],[Date]])</f>
        <v>45988</v>
      </c>
      <c r="I55" s="5">
        <f>DATE(YEAR(GL_Data[[#This Row],[Date_Real]]),MONTH(GL_Data[[#This Row],[Date_Real]]),1)</f>
        <v>45962</v>
      </c>
    </row>
    <row r="56" spans="1:9" x14ac:dyDescent="0.3">
      <c r="A56" s="6" t="s">
        <v>20</v>
      </c>
      <c r="B56" t="s">
        <v>64</v>
      </c>
      <c r="C56" t="s">
        <v>67</v>
      </c>
      <c r="D56" t="s">
        <v>78</v>
      </c>
      <c r="E56" t="s">
        <v>82</v>
      </c>
      <c r="F56" t="s">
        <v>118</v>
      </c>
      <c r="G56" s="1">
        <v>1788.81</v>
      </c>
      <c r="H56" s="4">
        <f>IFERROR(DATEVALUE(GL_Data[[#This Row],[Date]]),GL_Data[[#This Row],[Date]])</f>
        <v>45990</v>
      </c>
      <c r="I56" s="5">
        <f>DATE(YEAR(GL_Data[[#This Row],[Date_Real]]),MONTH(GL_Data[[#This Row],[Date_Real]]),1)</f>
        <v>45962</v>
      </c>
    </row>
    <row r="57" spans="1:9" x14ac:dyDescent="0.3">
      <c r="A57" s="6" t="s">
        <v>10</v>
      </c>
      <c r="B57" t="s">
        <v>64</v>
      </c>
      <c r="C57" t="s">
        <v>71</v>
      </c>
      <c r="D57" t="s">
        <v>77</v>
      </c>
      <c r="E57" t="s">
        <v>87</v>
      </c>
      <c r="F57" t="s">
        <v>112</v>
      </c>
      <c r="G57" s="1">
        <v>-63.3</v>
      </c>
      <c r="H57" s="4">
        <f>IFERROR(DATEVALUE(GL_Data[[#This Row],[Date]]),GL_Data[[#This Row],[Date]])</f>
        <v>45964</v>
      </c>
      <c r="I57" s="5">
        <f>DATE(YEAR(GL_Data[[#This Row],[Date_Real]]),MONTH(GL_Data[[#This Row],[Date_Real]]),1)</f>
        <v>45962</v>
      </c>
    </row>
    <row r="58" spans="1:9" x14ac:dyDescent="0.3">
      <c r="A58" s="6" t="s">
        <v>24</v>
      </c>
      <c r="B58" t="s">
        <v>64</v>
      </c>
      <c r="C58" t="s">
        <v>70</v>
      </c>
      <c r="D58" t="s">
        <v>79</v>
      </c>
      <c r="E58" t="s">
        <v>85</v>
      </c>
      <c r="F58" t="s">
        <v>123</v>
      </c>
      <c r="G58" s="1">
        <v>-1142.54</v>
      </c>
      <c r="H58" s="4">
        <f>IFERROR(DATEVALUE(GL_Data[[#This Row],[Date]]),GL_Data[[#This Row],[Date]])</f>
        <v>45976</v>
      </c>
      <c r="I58" s="5">
        <f>DATE(YEAR(GL_Data[[#This Row],[Date_Real]]),MONTH(GL_Data[[#This Row],[Date_Real]]),1)</f>
        <v>45962</v>
      </c>
    </row>
    <row r="59" spans="1:9" x14ac:dyDescent="0.3">
      <c r="A59" s="6" t="s">
        <v>21</v>
      </c>
      <c r="B59" t="s">
        <v>64</v>
      </c>
      <c r="C59" t="s">
        <v>67</v>
      </c>
      <c r="D59" t="s">
        <v>78</v>
      </c>
      <c r="E59" t="s">
        <v>82</v>
      </c>
      <c r="F59" t="s">
        <v>120</v>
      </c>
      <c r="G59" s="1">
        <v>1402.08</v>
      </c>
      <c r="H59" s="4">
        <f>IFERROR(DATEVALUE(GL_Data[[#This Row],[Date]]),GL_Data[[#This Row],[Date]])</f>
        <v>45966</v>
      </c>
      <c r="I59" s="5">
        <f>DATE(YEAR(GL_Data[[#This Row],[Date_Real]]),MONTH(GL_Data[[#This Row],[Date_Real]]),1)</f>
        <v>45962</v>
      </c>
    </row>
    <row r="60" spans="1:9" x14ac:dyDescent="0.3">
      <c r="A60" s="6" t="s">
        <v>32</v>
      </c>
      <c r="B60" t="s">
        <v>64</v>
      </c>
      <c r="C60" t="s">
        <v>69</v>
      </c>
      <c r="D60" t="s">
        <v>77</v>
      </c>
      <c r="E60" t="s">
        <v>90</v>
      </c>
      <c r="F60" t="s">
        <v>108</v>
      </c>
      <c r="G60" s="1">
        <v>-620.33000000000004</v>
      </c>
      <c r="H60" s="4">
        <f>IFERROR(DATEVALUE(GL_Data[[#This Row],[Date]]),GL_Data[[#This Row],[Date]])</f>
        <v>45987</v>
      </c>
      <c r="I60" s="5">
        <f>DATE(YEAR(GL_Data[[#This Row],[Date_Real]]),MONTH(GL_Data[[#This Row],[Date_Real]]),1)</f>
        <v>45962</v>
      </c>
    </row>
    <row r="61" spans="1:9" x14ac:dyDescent="0.3">
      <c r="A61" s="6" t="s">
        <v>19</v>
      </c>
      <c r="B61" t="s">
        <v>64</v>
      </c>
      <c r="C61" t="s">
        <v>75</v>
      </c>
      <c r="D61" t="s">
        <v>77</v>
      </c>
      <c r="E61" t="s">
        <v>87</v>
      </c>
      <c r="F61" t="s">
        <v>107</v>
      </c>
      <c r="G61" s="1">
        <v>-27.15</v>
      </c>
      <c r="H61" s="4">
        <f>IFERROR(DATEVALUE(GL_Data[[#This Row],[Date]]),GL_Data[[#This Row],[Date]])</f>
        <v>45983</v>
      </c>
      <c r="I61" s="5">
        <f>DATE(YEAR(GL_Data[[#This Row],[Date_Real]]),MONTH(GL_Data[[#This Row],[Date_Real]]),1)</f>
        <v>45962</v>
      </c>
    </row>
    <row r="62" spans="1:9" x14ac:dyDescent="0.3">
      <c r="A62" s="6" t="s">
        <v>21</v>
      </c>
      <c r="B62" t="s">
        <v>64</v>
      </c>
      <c r="C62" t="s">
        <v>67</v>
      </c>
      <c r="D62" t="s">
        <v>78</v>
      </c>
      <c r="E62" t="s">
        <v>82</v>
      </c>
      <c r="F62" t="s">
        <v>115</v>
      </c>
      <c r="G62" s="1">
        <v>1808.75</v>
      </c>
      <c r="H62" s="4">
        <f>IFERROR(DATEVALUE(GL_Data[[#This Row],[Date]]),GL_Data[[#This Row],[Date]])</f>
        <v>45966</v>
      </c>
      <c r="I62" s="5">
        <f>DATE(YEAR(GL_Data[[#This Row],[Date_Real]]),MONTH(GL_Data[[#This Row],[Date_Real]]),1)</f>
        <v>45962</v>
      </c>
    </row>
    <row r="63" spans="1:9" x14ac:dyDescent="0.3">
      <c r="A63" s="6" t="s">
        <v>31</v>
      </c>
      <c r="B63" t="s">
        <v>64</v>
      </c>
      <c r="C63" t="s">
        <v>72</v>
      </c>
      <c r="D63" t="s">
        <v>77</v>
      </c>
      <c r="E63" t="s">
        <v>87</v>
      </c>
      <c r="F63" t="s">
        <v>121</v>
      </c>
      <c r="G63" s="1">
        <v>-83.17</v>
      </c>
      <c r="H63" s="4">
        <f>IFERROR(DATEVALUE(GL_Data[[#This Row],[Date]]),GL_Data[[#This Row],[Date]])</f>
        <v>45978</v>
      </c>
      <c r="I63" s="5">
        <f>DATE(YEAR(GL_Data[[#This Row],[Date_Real]]),MONTH(GL_Data[[#This Row],[Date_Real]]),1)</f>
        <v>45962</v>
      </c>
    </row>
    <row r="64" spans="1:9" x14ac:dyDescent="0.3">
      <c r="A64" s="6" t="s">
        <v>8</v>
      </c>
      <c r="B64" t="s">
        <v>64</v>
      </c>
      <c r="C64" t="s">
        <v>74</v>
      </c>
      <c r="D64" t="s">
        <v>77</v>
      </c>
      <c r="E64" t="s">
        <v>87</v>
      </c>
      <c r="F64" t="s">
        <v>121</v>
      </c>
      <c r="G64" s="1">
        <v>-152.80000000000001</v>
      </c>
      <c r="H64" s="4">
        <f>IFERROR(DATEVALUE(GL_Data[[#This Row],[Date]]),GL_Data[[#This Row],[Date]])</f>
        <v>45988</v>
      </c>
      <c r="I64" s="5">
        <f>DATE(YEAR(GL_Data[[#This Row],[Date_Real]]),MONTH(GL_Data[[#This Row],[Date_Real]]),1)</f>
        <v>45962</v>
      </c>
    </row>
    <row r="65" spans="1:9" x14ac:dyDescent="0.3">
      <c r="A65" s="6" t="s">
        <v>13</v>
      </c>
      <c r="B65" t="s">
        <v>64</v>
      </c>
      <c r="C65" t="s">
        <v>66</v>
      </c>
      <c r="D65" t="s">
        <v>77</v>
      </c>
      <c r="E65" t="s">
        <v>93</v>
      </c>
      <c r="F65" t="s">
        <v>119</v>
      </c>
      <c r="G65" s="1">
        <v>-142.19</v>
      </c>
      <c r="H65" s="4">
        <f>IFERROR(DATEVALUE(GL_Data[[#This Row],[Date]]),GL_Data[[#This Row],[Date]])</f>
        <v>45971</v>
      </c>
      <c r="I65" s="5">
        <f>DATE(YEAR(GL_Data[[#This Row],[Date_Real]]),MONTH(GL_Data[[#This Row],[Date_Real]]),1)</f>
        <v>45962</v>
      </c>
    </row>
    <row r="66" spans="1:9" x14ac:dyDescent="0.3">
      <c r="A66" s="6" t="s">
        <v>14</v>
      </c>
      <c r="B66" t="s">
        <v>64</v>
      </c>
      <c r="C66" t="s">
        <v>70</v>
      </c>
      <c r="D66" t="s">
        <v>79</v>
      </c>
      <c r="E66" t="s">
        <v>94</v>
      </c>
      <c r="F66" t="s">
        <v>122</v>
      </c>
      <c r="G66" s="1">
        <v>-261.56</v>
      </c>
      <c r="H66" s="4">
        <f>IFERROR(DATEVALUE(GL_Data[[#This Row],[Date]]),GL_Data[[#This Row],[Date]])</f>
        <v>45979</v>
      </c>
      <c r="I66" s="5">
        <f>DATE(YEAR(GL_Data[[#This Row],[Date_Real]]),MONTH(GL_Data[[#This Row],[Date_Real]]),1)</f>
        <v>45962</v>
      </c>
    </row>
    <row r="67" spans="1:9" x14ac:dyDescent="0.3">
      <c r="A67" s="6" t="s">
        <v>19</v>
      </c>
      <c r="B67" t="s">
        <v>64</v>
      </c>
      <c r="C67" t="s">
        <v>68</v>
      </c>
      <c r="D67" t="s">
        <v>77</v>
      </c>
      <c r="E67" t="s">
        <v>97</v>
      </c>
      <c r="F67" t="s">
        <v>109</v>
      </c>
      <c r="G67" s="1">
        <v>-182.29</v>
      </c>
      <c r="H67" s="4">
        <f>IFERROR(DATEVALUE(GL_Data[[#This Row],[Date]]),GL_Data[[#This Row],[Date]])</f>
        <v>45983</v>
      </c>
      <c r="I67" s="5">
        <f>DATE(YEAR(GL_Data[[#This Row],[Date_Real]]),MONTH(GL_Data[[#This Row],[Date_Real]]),1)</f>
        <v>45962</v>
      </c>
    </row>
    <row r="68" spans="1:9" x14ac:dyDescent="0.3">
      <c r="A68" s="6" t="s">
        <v>14</v>
      </c>
      <c r="B68" t="s">
        <v>64</v>
      </c>
      <c r="C68" t="s">
        <v>67</v>
      </c>
      <c r="D68" t="s">
        <v>78</v>
      </c>
      <c r="E68" t="s">
        <v>82</v>
      </c>
      <c r="F68" t="s">
        <v>120</v>
      </c>
      <c r="G68" s="1">
        <v>1245.57</v>
      </c>
      <c r="H68" s="4">
        <f>IFERROR(DATEVALUE(GL_Data[[#This Row],[Date]]),GL_Data[[#This Row],[Date]])</f>
        <v>45979</v>
      </c>
      <c r="I68" s="5">
        <f>DATE(YEAR(GL_Data[[#This Row],[Date_Real]]),MONTH(GL_Data[[#This Row],[Date_Real]]),1)</f>
        <v>45962</v>
      </c>
    </row>
    <row r="69" spans="1:9" x14ac:dyDescent="0.3">
      <c r="A69" s="6" t="s">
        <v>15</v>
      </c>
      <c r="B69" t="s">
        <v>64</v>
      </c>
      <c r="C69" t="s">
        <v>67</v>
      </c>
      <c r="D69" t="s">
        <v>78</v>
      </c>
      <c r="E69" t="s">
        <v>82</v>
      </c>
      <c r="F69" t="s">
        <v>102</v>
      </c>
      <c r="G69" s="1">
        <v>257.67</v>
      </c>
      <c r="H69" s="4">
        <f>IFERROR(DATEVALUE(GL_Data[[#This Row],[Date]]),GL_Data[[#This Row],[Date]])</f>
        <v>45986</v>
      </c>
      <c r="I69" s="5">
        <f>DATE(YEAR(GL_Data[[#This Row],[Date_Real]]),MONTH(GL_Data[[#This Row],[Date_Real]]),1)</f>
        <v>45962</v>
      </c>
    </row>
    <row r="70" spans="1:9" x14ac:dyDescent="0.3">
      <c r="A70" s="6" t="s">
        <v>16</v>
      </c>
      <c r="B70" t="s">
        <v>64</v>
      </c>
      <c r="C70" t="s">
        <v>67</v>
      </c>
      <c r="D70" t="s">
        <v>78</v>
      </c>
      <c r="E70" t="s">
        <v>82</v>
      </c>
      <c r="F70" t="s">
        <v>115</v>
      </c>
      <c r="G70" s="1">
        <v>1457.25</v>
      </c>
      <c r="H70" s="4">
        <f>IFERROR(DATEVALUE(GL_Data[[#This Row],[Date]]),GL_Data[[#This Row],[Date]])</f>
        <v>45967</v>
      </c>
      <c r="I70" s="5">
        <f>DATE(YEAR(GL_Data[[#This Row],[Date_Real]]),MONTH(GL_Data[[#This Row],[Date_Real]]),1)</f>
        <v>45962</v>
      </c>
    </row>
    <row r="71" spans="1:9" x14ac:dyDescent="0.3">
      <c r="A71" s="6" t="s">
        <v>14</v>
      </c>
      <c r="B71" t="s">
        <v>64</v>
      </c>
      <c r="C71" t="s">
        <v>67</v>
      </c>
      <c r="D71" t="s">
        <v>78</v>
      </c>
      <c r="E71" t="s">
        <v>82</v>
      </c>
      <c r="F71" t="s">
        <v>113</v>
      </c>
      <c r="G71" s="1">
        <v>1580.55</v>
      </c>
      <c r="H71" s="4">
        <f>IFERROR(DATEVALUE(GL_Data[[#This Row],[Date]]),GL_Data[[#This Row],[Date]])</f>
        <v>45979</v>
      </c>
      <c r="I71" s="5">
        <f>DATE(YEAR(GL_Data[[#This Row],[Date_Real]]),MONTH(GL_Data[[#This Row],[Date_Real]]),1)</f>
        <v>45962</v>
      </c>
    </row>
    <row r="72" spans="1:9" x14ac:dyDescent="0.3">
      <c r="A72" s="6" t="s">
        <v>14</v>
      </c>
      <c r="B72" t="s">
        <v>64</v>
      </c>
      <c r="C72" t="s">
        <v>66</v>
      </c>
      <c r="D72" t="s">
        <v>77</v>
      </c>
      <c r="E72" t="s">
        <v>96</v>
      </c>
      <c r="F72" t="s">
        <v>127</v>
      </c>
      <c r="G72" s="1">
        <v>-144.24</v>
      </c>
      <c r="H72" s="4">
        <f>IFERROR(DATEVALUE(GL_Data[[#This Row],[Date]]),GL_Data[[#This Row],[Date]])</f>
        <v>45979</v>
      </c>
      <c r="I72" s="5">
        <f>DATE(YEAR(GL_Data[[#This Row],[Date_Real]]),MONTH(GL_Data[[#This Row],[Date_Real]]),1)</f>
        <v>45962</v>
      </c>
    </row>
    <row r="73" spans="1:9" x14ac:dyDescent="0.3">
      <c r="A73" s="6" t="s">
        <v>11</v>
      </c>
      <c r="B73" t="s">
        <v>64</v>
      </c>
      <c r="C73" t="s">
        <v>67</v>
      </c>
      <c r="D73" t="s">
        <v>78</v>
      </c>
      <c r="E73" t="s">
        <v>82</v>
      </c>
      <c r="F73" t="s">
        <v>115</v>
      </c>
      <c r="G73" s="1">
        <v>332.29</v>
      </c>
      <c r="H73" s="4">
        <f>IFERROR(DATEVALUE(GL_Data[[#This Row],[Date]]),GL_Data[[#This Row],[Date]])</f>
        <v>45969</v>
      </c>
      <c r="I73" s="5">
        <f>DATE(YEAR(GL_Data[[#This Row],[Date_Real]]),MONTH(GL_Data[[#This Row],[Date_Real]]),1)</f>
        <v>45962</v>
      </c>
    </row>
    <row r="74" spans="1:9" x14ac:dyDescent="0.3">
      <c r="A74" s="6" t="s">
        <v>31</v>
      </c>
      <c r="B74" t="s">
        <v>64</v>
      </c>
      <c r="C74" t="s">
        <v>66</v>
      </c>
      <c r="D74" t="s">
        <v>77</v>
      </c>
      <c r="E74" t="s">
        <v>98</v>
      </c>
      <c r="F74" t="s">
        <v>101</v>
      </c>
      <c r="G74" s="1">
        <v>-24.46</v>
      </c>
      <c r="H74" s="4">
        <f>IFERROR(DATEVALUE(GL_Data[[#This Row],[Date]]),GL_Data[[#This Row],[Date]])</f>
        <v>45978</v>
      </c>
      <c r="I74" s="5">
        <f>DATE(YEAR(GL_Data[[#This Row],[Date_Real]]),MONTH(GL_Data[[#This Row],[Date_Real]]),1)</f>
        <v>45962</v>
      </c>
    </row>
    <row r="75" spans="1:9" x14ac:dyDescent="0.3">
      <c r="A75" s="6" t="s">
        <v>7</v>
      </c>
      <c r="B75" t="s">
        <v>64</v>
      </c>
      <c r="C75" t="s">
        <v>68</v>
      </c>
      <c r="D75" t="s">
        <v>77</v>
      </c>
      <c r="E75" t="s">
        <v>97</v>
      </c>
      <c r="F75" t="s">
        <v>103</v>
      </c>
      <c r="G75" s="1">
        <v>-108.53</v>
      </c>
      <c r="H75" s="4">
        <f>IFERROR(DATEVALUE(GL_Data[[#This Row],[Date]]),GL_Data[[#This Row],[Date]])</f>
        <v>45972</v>
      </c>
      <c r="I75" s="5">
        <f>DATE(YEAR(GL_Data[[#This Row],[Date_Real]]),MONTH(GL_Data[[#This Row],[Date_Real]]),1)</f>
        <v>45962</v>
      </c>
    </row>
    <row r="76" spans="1:9" x14ac:dyDescent="0.3">
      <c r="A76" s="6" t="s">
        <v>18</v>
      </c>
      <c r="B76" t="s">
        <v>64</v>
      </c>
      <c r="C76" t="s">
        <v>70</v>
      </c>
      <c r="D76" t="s">
        <v>79</v>
      </c>
      <c r="E76" t="s">
        <v>85</v>
      </c>
      <c r="F76" t="s">
        <v>110</v>
      </c>
      <c r="G76" s="1">
        <v>-668.81</v>
      </c>
      <c r="H76" s="4">
        <f>IFERROR(DATEVALUE(GL_Data[[#This Row],[Date]]),GL_Data[[#This Row],[Date]])</f>
        <v>45984</v>
      </c>
      <c r="I76" s="5">
        <f>DATE(YEAR(GL_Data[[#This Row],[Date_Real]]),MONTH(GL_Data[[#This Row],[Date_Real]]),1)</f>
        <v>45962</v>
      </c>
    </row>
    <row r="77" spans="1:9" x14ac:dyDescent="0.3">
      <c r="A77" s="6" t="s">
        <v>18</v>
      </c>
      <c r="B77" t="s">
        <v>64</v>
      </c>
      <c r="C77" t="s">
        <v>66</v>
      </c>
      <c r="D77" t="s">
        <v>77</v>
      </c>
      <c r="E77" t="s">
        <v>81</v>
      </c>
      <c r="F77" t="s">
        <v>119</v>
      </c>
      <c r="G77" s="1">
        <v>-160.16</v>
      </c>
      <c r="H77" s="4">
        <f>IFERROR(DATEVALUE(GL_Data[[#This Row],[Date]]),GL_Data[[#This Row],[Date]])</f>
        <v>45984</v>
      </c>
      <c r="I77" s="5">
        <f>DATE(YEAR(GL_Data[[#This Row],[Date_Real]]),MONTH(GL_Data[[#This Row],[Date_Real]]),1)</f>
        <v>45962</v>
      </c>
    </row>
    <row r="78" spans="1:9" x14ac:dyDescent="0.3">
      <c r="A78" s="6" t="s">
        <v>8</v>
      </c>
      <c r="B78" t="s">
        <v>64</v>
      </c>
      <c r="C78" t="s">
        <v>70</v>
      </c>
      <c r="D78" t="s">
        <v>79</v>
      </c>
      <c r="E78" t="s">
        <v>94</v>
      </c>
      <c r="F78" t="s">
        <v>110</v>
      </c>
      <c r="G78" s="1">
        <v>-569.97</v>
      </c>
      <c r="H78" s="4">
        <f>IFERROR(DATEVALUE(GL_Data[[#This Row],[Date]]),GL_Data[[#This Row],[Date]])</f>
        <v>45988</v>
      </c>
      <c r="I78" s="5">
        <f>DATE(YEAR(GL_Data[[#This Row],[Date_Real]]),MONTH(GL_Data[[#This Row],[Date_Real]]),1)</f>
        <v>45962</v>
      </c>
    </row>
    <row r="79" spans="1:9" x14ac:dyDescent="0.3">
      <c r="A79" s="6" t="s">
        <v>7</v>
      </c>
      <c r="B79" t="s">
        <v>64</v>
      </c>
      <c r="C79" t="s">
        <v>67</v>
      </c>
      <c r="D79" t="s">
        <v>78</v>
      </c>
      <c r="E79" t="s">
        <v>82</v>
      </c>
      <c r="F79" t="s">
        <v>115</v>
      </c>
      <c r="G79" s="1">
        <v>719.25</v>
      </c>
      <c r="H79" s="4">
        <f>IFERROR(DATEVALUE(GL_Data[[#This Row],[Date]]),GL_Data[[#This Row],[Date]])</f>
        <v>45972</v>
      </c>
      <c r="I79" s="5">
        <f>DATE(YEAR(GL_Data[[#This Row],[Date_Real]]),MONTH(GL_Data[[#This Row],[Date_Real]]),1)</f>
        <v>45962</v>
      </c>
    </row>
    <row r="80" spans="1:9" x14ac:dyDescent="0.3">
      <c r="A80" s="6" t="s">
        <v>30</v>
      </c>
      <c r="B80" t="s">
        <v>64</v>
      </c>
      <c r="C80" t="s">
        <v>69</v>
      </c>
      <c r="D80" t="s">
        <v>77</v>
      </c>
      <c r="E80" t="s">
        <v>84</v>
      </c>
      <c r="F80" t="s">
        <v>126</v>
      </c>
      <c r="G80" s="1">
        <v>-744.43</v>
      </c>
      <c r="H80" s="4">
        <f>IFERROR(DATEVALUE(GL_Data[[#This Row],[Date]]),GL_Data[[#This Row],[Date]])</f>
        <v>45968</v>
      </c>
      <c r="I80" s="5">
        <f>DATE(YEAR(GL_Data[[#This Row],[Date_Real]]),MONTH(GL_Data[[#This Row],[Date_Real]]),1)</f>
        <v>45962</v>
      </c>
    </row>
    <row r="81" spans="1:9" x14ac:dyDescent="0.3">
      <c r="A81" s="6" t="s">
        <v>26</v>
      </c>
      <c r="B81" t="s">
        <v>64</v>
      </c>
      <c r="C81" t="s">
        <v>69</v>
      </c>
      <c r="D81" t="s">
        <v>77</v>
      </c>
      <c r="E81" t="s">
        <v>90</v>
      </c>
      <c r="F81" t="s">
        <v>126</v>
      </c>
      <c r="G81" s="1">
        <v>-282.94</v>
      </c>
      <c r="H81" s="4">
        <f>IFERROR(DATEVALUE(GL_Data[[#This Row],[Date]]),GL_Data[[#This Row],[Date]])</f>
        <v>45982</v>
      </c>
      <c r="I81" s="5">
        <f>DATE(YEAR(GL_Data[[#This Row],[Date_Real]]),MONTH(GL_Data[[#This Row],[Date_Real]]),1)</f>
        <v>45962</v>
      </c>
    </row>
    <row r="82" spans="1:9" x14ac:dyDescent="0.3">
      <c r="A82" s="6" t="s">
        <v>11</v>
      </c>
      <c r="B82" t="s">
        <v>64</v>
      </c>
      <c r="C82" t="s">
        <v>72</v>
      </c>
      <c r="D82" t="s">
        <v>77</v>
      </c>
      <c r="E82" t="s">
        <v>87</v>
      </c>
      <c r="F82" t="s">
        <v>112</v>
      </c>
      <c r="G82" s="1">
        <v>-69.180000000000007</v>
      </c>
      <c r="H82" s="4">
        <f>IFERROR(DATEVALUE(GL_Data[[#This Row],[Date]]),GL_Data[[#This Row],[Date]])</f>
        <v>45969</v>
      </c>
      <c r="I82" s="5">
        <f>DATE(YEAR(GL_Data[[#This Row],[Date_Real]]),MONTH(GL_Data[[#This Row],[Date_Real]]),1)</f>
        <v>45962</v>
      </c>
    </row>
    <row r="83" spans="1:9" x14ac:dyDescent="0.3">
      <c r="A83" s="6" t="s">
        <v>16</v>
      </c>
      <c r="B83" t="s">
        <v>64</v>
      </c>
      <c r="C83" t="s">
        <v>65</v>
      </c>
      <c r="D83" t="s">
        <v>76</v>
      </c>
      <c r="E83" t="s">
        <v>95</v>
      </c>
      <c r="F83" t="s">
        <v>124</v>
      </c>
      <c r="G83" s="1">
        <v>-295.54000000000002</v>
      </c>
      <c r="H83" s="4">
        <f>IFERROR(DATEVALUE(GL_Data[[#This Row],[Date]]),GL_Data[[#This Row],[Date]])</f>
        <v>45967</v>
      </c>
      <c r="I83" s="5">
        <f>DATE(YEAR(GL_Data[[#This Row],[Date_Real]]),MONTH(GL_Data[[#This Row],[Date_Real]]),1)</f>
        <v>45962</v>
      </c>
    </row>
    <row r="84" spans="1:9" x14ac:dyDescent="0.3">
      <c r="A84" s="6" t="s">
        <v>17</v>
      </c>
      <c r="B84" t="s">
        <v>64</v>
      </c>
      <c r="C84" t="s">
        <v>65</v>
      </c>
      <c r="D84" t="s">
        <v>76</v>
      </c>
      <c r="E84" t="s">
        <v>80</v>
      </c>
      <c r="F84" t="s">
        <v>128</v>
      </c>
      <c r="G84" s="1">
        <v>-156.24</v>
      </c>
      <c r="H84" s="4">
        <f>IFERROR(DATEVALUE(GL_Data[[#This Row],[Date]]),GL_Data[[#This Row],[Date]])</f>
        <v>45975</v>
      </c>
      <c r="I84" s="5">
        <f>DATE(YEAR(GL_Data[[#This Row],[Date_Real]]),MONTH(GL_Data[[#This Row],[Date_Real]]),1)</f>
        <v>45962</v>
      </c>
    </row>
    <row r="85" spans="1:9" x14ac:dyDescent="0.3">
      <c r="A85" s="6" t="s">
        <v>33</v>
      </c>
      <c r="B85" t="s">
        <v>64</v>
      </c>
      <c r="C85" t="s">
        <v>70</v>
      </c>
      <c r="D85" t="s">
        <v>79</v>
      </c>
      <c r="E85" t="s">
        <v>86</v>
      </c>
      <c r="F85" t="s">
        <v>105</v>
      </c>
      <c r="G85" s="1">
        <v>-899.92</v>
      </c>
      <c r="H85" s="4">
        <f>IFERROR(DATEVALUE(GL_Data[[#This Row],[Date]]),GL_Data[[#This Row],[Date]])</f>
        <v>45973</v>
      </c>
      <c r="I85" s="5">
        <f>DATE(YEAR(GL_Data[[#This Row],[Date_Real]]),MONTH(GL_Data[[#This Row],[Date_Real]]),1)</f>
        <v>45962</v>
      </c>
    </row>
    <row r="86" spans="1:9" x14ac:dyDescent="0.3">
      <c r="A86" s="6" t="s">
        <v>14</v>
      </c>
      <c r="B86" t="s">
        <v>64</v>
      </c>
      <c r="C86" t="s">
        <v>66</v>
      </c>
      <c r="D86" t="s">
        <v>77</v>
      </c>
      <c r="E86" t="s">
        <v>93</v>
      </c>
      <c r="F86" t="s">
        <v>129</v>
      </c>
      <c r="G86" s="1">
        <v>-132.5</v>
      </c>
      <c r="H86" s="4">
        <f>IFERROR(DATEVALUE(GL_Data[[#This Row],[Date]]),GL_Data[[#This Row],[Date]])</f>
        <v>45979</v>
      </c>
      <c r="I86" s="5">
        <f>DATE(YEAR(GL_Data[[#This Row],[Date_Real]]),MONTH(GL_Data[[#This Row],[Date_Real]]),1)</f>
        <v>45962</v>
      </c>
    </row>
    <row r="87" spans="1:9" x14ac:dyDescent="0.3">
      <c r="A87" s="6" t="s">
        <v>31</v>
      </c>
      <c r="B87" t="s">
        <v>64</v>
      </c>
      <c r="C87" t="s">
        <v>68</v>
      </c>
      <c r="D87" t="s">
        <v>77</v>
      </c>
      <c r="E87" t="s">
        <v>83</v>
      </c>
      <c r="F87" t="s">
        <v>130</v>
      </c>
      <c r="G87" s="1">
        <v>-109.77</v>
      </c>
      <c r="H87" s="4">
        <f>IFERROR(DATEVALUE(GL_Data[[#This Row],[Date]]),GL_Data[[#This Row],[Date]])</f>
        <v>45978</v>
      </c>
      <c r="I87" s="5">
        <f>DATE(YEAR(GL_Data[[#This Row],[Date_Real]]),MONTH(GL_Data[[#This Row],[Date_Real]]),1)</f>
        <v>45962</v>
      </c>
    </row>
    <row r="88" spans="1:9" x14ac:dyDescent="0.3">
      <c r="A88" s="6" t="s">
        <v>34</v>
      </c>
      <c r="B88" t="s">
        <v>64</v>
      </c>
      <c r="C88" t="s">
        <v>71</v>
      </c>
      <c r="D88" t="s">
        <v>77</v>
      </c>
      <c r="E88" t="s">
        <v>87</v>
      </c>
      <c r="F88" t="s">
        <v>125</v>
      </c>
      <c r="G88" s="1">
        <v>-63.3</v>
      </c>
      <c r="H88" s="4">
        <f>IFERROR(DATEVALUE(GL_Data[[#This Row],[Date]]),GL_Data[[#This Row],[Date]])</f>
        <v>45991</v>
      </c>
      <c r="I88" s="5">
        <f>DATE(YEAR(GL_Data[[#This Row],[Date_Real]]),MONTH(GL_Data[[#This Row],[Date_Real]]),1)</f>
        <v>45962</v>
      </c>
    </row>
    <row r="89" spans="1:9" x14ac:dyDescent="0.3">
      <c r="A89" s="6" t="s">
        <v>10</v>
      </c>
      <c r="B89" t="s">
        <v>64</v>
      </c>
      <c r="C89" t="s">
        <v>70</v>
      </c>
      <c r="D89" t="s">
        <v>79</v>
      </c>
      <c r="E89" t="s">
        <v>86</v>
      </c>
      <c r="F89" t="s">
        <v>123</v>
      </c>
      <c r="G89" s="1">
        <v>-162.76</v>
      </c>
      <c r="H89" s="4">
        <f>IFERROR(DATEVALUE(GL_Data[[#This Row],[Date]]),GL_Data[[#This Row],[Date]])</f>
        <v>45964</v>
      </c>
      <c r="I89" s="5">
        <f>DATE(YEAR(GL_Data[[#This Row],[Date_Real]]),MONTH(GL_Data[[#This Row],[Date_Real]]),1)</f>
        <v>45962</v>
      </c>
    </row>
    <row r="90" spans="1:9" x14ac:dyDescent="0.3">
      <c r="A90" s="6" t="s">
        <v>15</v>
      </c>
      <c r="B90" t="s">
        <v>64</v>
      </c>
      <c r="C90" t="s">
        <v>67</v>
      </c>
      <c r="D90" t="s">
        <v>78</v>
      </c>
      <c r="E90" t="s">
        <v>82</v>
      </c>
      <c r="F90" t="s">
        <v>118</v>
      </c>
      <c r="G90" s="1">
        <v>1073.4000000000001</v>
      </c>
      <c r="H90" s="4">
        <f>IFERROR(DATEVALUE(GL_Data[[#This Row],[Date]]),GL_Data[[#This Row],[Date]])</f>
        <v>45986</v>
      </c>
      <c r="I90" s="5">
        <f>DATE(YEAR(GL_Data[[#This Row],[Date_Real]]),MONTH(GL_Data[[#This Row],[Date_Real]]),1)</f>
        <v>45962</v>
      </c>
    </row>
    <row r="91" spans="1:9" x14ac:dyDescent="0.3">
      <c r="A91" s="6" t="s">
        <v>25</v>
      </c>
      <c r="B91" t="s">
        <v>64</v>
      </c>
      <c r="C91" t="s">
        <v>67</v>
      </c>
      <c r="D91" t="s">
        <v>78</v>
      </c>
      <c r="E91" t="s">
        <v>82</v>
      </c>
      <c r="F91" t="s">
        <v>113</v>
      </c>
      <c r="G91" s="1">
        <v>2042.38</v>
      </c>
      <c r="H91" s="4">
        <f>IFERROR(DATEVALUE(GL_Data[[#This Row],[Date]]),GL_Data[[#This Row],[Date]])</f>
        <v>45974</v>
      </c>
      <c r="I91" s="5">
        <f>DATE(YEAR(GL_Data[[#This Row],[Date_Real]]),MONTH(GL_Data[[#This Row],[Date_Real]]),1)</f>
        <v>45962</v>
      </c>
    </row>
    <row r="92" spans="1:9" x14ac:dyDescent="0.3">
      <c r="A92" s="6" t="s">
        <v>28</v>
      </c>
      <c r="B92" t="s">
        <v>64</v>
      </c>
      <c r="C92" t="s">
        <v>69</v>
      </c>
      <c r="D92" t="s">
        <v>77</v>
      </c>
      <c r="E92" t="s">
        <v>84</v>
      </c>
      <c r="F92" t="s">
        <v>104</v>
      </c>
      <c r="G92" s="1">
        <v>-244.41</v>
      </c>
      <c r="H92" s="4">
        <f>IFERROR(DATEVALUE(GL_Data[[#This Row],[Date]]),GL_Data[[#This Row],[Date]])</f>
        <v>45977</v>
      </c>
      <c r="I92" s="5">
        <f>DATE(YEAR(GL_Data[[#This Row],[Date_Real]]),MONTH(GL_Data[[#This Row],[Date_Real]]),1)</f>
        <v>45962</v>
      </c>
    </row>
    <row r="93" spans="1:9" x14ac:dyDescent="0.3">
      <c r="A93" s="6" t="s">
        <v>16</v>
      </c>
      <c r="B93" t="s">
        <v>64</v>
      </c>
      <c r="C93" t="s">
        <v>70</v>
      </c>
      <c r="D93" t="s">
        <v>79</v>
      </c>
      <c r="E93" t="s">
        <v>89</v>
      </c>
      <c r="F93" t="s">
        <v>105</v>
      </c>
      <c r="G93" s="1">
        <v>-198.21</v>
      </c>
      <c r="H93" s="4">
        <f>IFERROR(DATEVALUE(GL_Data[[#This Row],[Date]]),GL_Data[[#This Row],[Date]])</f>
        <v>45967</v>
      </c>
      <c r="I93" s="5">
        <f>DATE(YEAR(GL_Data[[#This Row],[Date_Real]]),MONTH(GL_Data[[#This Row],[Date_Real]]),1)</f>
        <v>45962</v>
      </c>
    </row>
    <row r="94" spans="1:9" x14ac:dyDescent="0.3">
      <c r="A94" s="6" t="s">
        <v>32</v>
      </c>
      <c r="B94" t="s">
        <v>64</v>
      </c>
      <c r="C94" t="s">
        <v>70</v>
      </c>
      <c r="D94" t="s">
        <v>79</v>
      </c>
      <c r="E94" t="s">
        <v>89</v>
      </c>
      <c r="F94" t="s">
        <v>123</v>
      </c>
      <c r="G94" s="1">
        <v>-776.83</v>
      </c>
      <c r="H94" s="4">
        <f>IFERROR(DATEVALUE(GL_Data[[#This Row],[Date]]),GL_Data[[#This Row],[Date]])</f>
        <v>45987</v>
      </c>
      <c r="I94" s="5">
        <f>DATE(YEAR(GL_Data[[#This Row],[Date_Real]]),MONTH(GL_Data[[#This Row],[Date_Real]]),1)</f>
        <v>45962</v>
      </c>
    </row>
    <row r="95" spans="1:9" x14ac:dyDescent="0.3">
      <c r="A95" s="6" t="s">
        <v>22</v>
      </c>
      <c r="B95" t="s">
        <v>64</v>
      </c>
      <c r="C95" t="s">
        <v>74</v>
      </c>
      <c r="D95" t="s">
        <v>77</v>
      </c>
      <c r="E95" t="s">
        <v>87</v>
      </c>
      <c r="F95" t="s">
        <v>114</v>
      </c>
      <c r="G95" s="1">
        <v>-195.38</v>
      </c>
      <c r="H95" s="4">
        <f>IFERROR(DATEVALUE(GL_Data[[#This Row],[Date]]),GL_Data[[#This Row],[Date]])</f>
        <v>45970</v>
      </c>
      <c r="I95" s="5">
        <f>DATE(YEAR(GL_Data[[#This Row],[Date_Real]]),MONTH(GL_Data[[#This Row],[Date_Real]]),1)</f>
        <v>45962</v>
      </c>
    </row>
    <row r="96" spans="1:9" x14ac:dyDescent="0.3">
      <c r="A96" s="6" t="s">
        <v>14</v>
      </c>
      <c r="B96" t="s">
        <v>64</v>
      </c>
      <c r="C96" t="s">
        <v>70</v>
      </c>
      <c r="D96" t="s">
        <v>79</v>
      </c>
      <c r="E96" t="s">
        <v>85</v>
      </c>
      <c r="F96" t="s">
        <v>106</v>
      </c>
      <c r="G96" s="1">
        <v>-1108.6600000000001</v>
      </c>
      <c r="H96" s="4">
        <f>IFERROR(DATEVALUE(GL_Data[[#This Row],[Date]]),GL_Data[[#This Row],[Date]])</f>
        <v>45979</v>
      </c>
      <c r="I96" s="5">
        <f>DATE(YEAR(GL_Data[[#This Row],[Date_Real]]),MONTH(GL_Data[[#This Row],[Date_Real]]),1)</f>
        <v>45962</v>
      </c>
    </row>
    <row r="97" spans="1:9" x14ac:dyDescent="0.3">
      <c r="A97" s="6" t="s">
        <v>9</v>
      </c>
      <c r="B97" t="s">
        <v>64</v>
      </c>
      <c r="C97" t="s">
        <v>66</v>
      </c>
      <c r="D97" t="s">
        <v>77</v>
      </c>
      <c r="E97" t="s">
        <v>81</v>
      </c>
      <c r="F97" t="s">
        <v>101</v>
      </c>
      <c r="G97" s="1">
        <v>-58.15</v>
      </c>
      <c r="H97" s="4">
        <f>IFERROR(DATEVALUE(GL_Data[[#This Row],[Date]]),GL_Data[[#This Row],[Date]])</f>
        <v>45963</v>
      </c>
      <c r="I97" s="5">
        <f>DATE(YEAR(GL_Data[[#This Row],[Date_Real]]),MONTH(GL_Data[[#This Row],[Date_Real]]),1)</f>
        <v>45962</v>
      </c>
    </row>
    <row r="98" spans="1:9" x14ac:dyDescent="0.3">
      <c r="A98" s="6" t="s">
        <v>22</v>
      </c>
      <c r="B98" t="s">
        <v>64</v>
      </c>
      <c r="C98" t="s">
        <v>67</v>
      </c>
      <c r="D98" t="s">
        <v>78</v>
      </c>
      <c r="E98" t="s">
        <v>82</v>
      </c>
      <c r="F98" t="s">
        <v>118</v>
      </c>
      <c r="G98" s="1">
        <v>643.45000000000005</v>
      </c>
      <c r="H98" s="4">
        <f>IFERROR(DATEVALUE(GL_Data[[#This Row],[Date]]),GL_Data[[#This Row],[Date]])</f>
        <v>45970</v>
      </c>
      <c r="I98" s="5">
        <f>DATE(YEAR(GL_Data[[#This Row],[Date_Real]]),MONTH(GL_Data[[#This Row],[Date_Real]]),1)</f>
        <v>45962</v>
      </c>
    </row>
    <row r="99" spans="1:9" x14ac:dyDescent="0.3">
      <c r="A99" s="6" t="s">
        <v>26</v>
      </c>
      <c r="B99" t="s">
        <v>64</v>
      </c>
      <c r="C99" t="s">
        <v>70</v>
      </c>
      <c r="D99" t="s">
        <v>79</v>
      </c>
      <c r="E99" t="s">
        <v>94</v>
      </c>
      <c r="F99" t="s">
        <v>122</v>
      </c>
      <c r="G99" s="1">
        <v>-940.26</v>
      </c>
      <c r="H99" s="4">
        <f>IFERROR(DATEVALUE(GL_Data[[#This Row],[Date]]),GL_Data[[#This Row],[Date]])</f>
        <v>45982</v>
      </c>
      <c r="I99" s="5">
        <f>DATE(YEAR(GL_Data[[#This Row],[Date_Real]]),MONTH(GL_Data[[#This Row],[Date_Real]]),1)</f>
        <v>45962</v>
      </c>
    </row>
    <row r="100" spans="1:9" x14ac:dyDescent="0.3">
      <c r="A100" s="6" t="s">
        <v>31</v>
      </c>
      <c r="B100" t="s">
        <v>64</v>
      </c>
      <c r="C100" t="s">
        <v>69</v>
      </c>
      <c r="D100" t="s">
        <v>77</v>
      </c>
      <c r="E100" t="s">
        <v>90</v>
      </c>
      <c r="F100" t="s">
        <v>104</v>
      </c>
      <c r="G100" s="1">
        <v>-374.78</v>
      </c>
      <c r="H100" s="4">
        <f>IFERROR(DATEVALUE(GL_Data[[#This Row],[Date]]),GL_Data[[#This Row],[Date]])</f>
        <v>45978</v>
      </c>
      <c r="I100" s="5">
        <f>DATE(YEAR(GL_Data[[#This Row],[Date_Real]]),MONTH(GL_Data[[#This Row],[Date_Real]]),1)</f>
        <v>45962</v>
      </c>
    </row>
    <row r="101" spans="1:9" x14ac:dyDescent="0.3">
      <c r="A101" s="6" t="s">
        <v>9</v>
      </c>
      <c r="B101" t="s">
        <v>64</v>
      </c>
      <c r="C101" t="s">
        <v>67</v>
      </c>
      <c r="D101" t="s">
        <v>78</v>
      </c>
      <c r="E101" t="s">
        <v>82</v>
      </c>
      <c r="F101" t="s">
        <v>113</v>
      </c>
      <c r="G101" s="1">
        <v>1679.51</v>
      </c>
      <c r="H101" s="4">
        <f>IFERROR(DATEVALUE(GL_Data[[#This Row],[Date]]),GL_Data[[#This Row],[Date]])</f>
        <v>45963</v>
      </c>
      <c r="I101" s="5">
        <f>DATE(YEAR(GL_Data[[#This Row],[Date_Real]]),MONTH(GL_Data[[#This Row],[Date_Real]]),1)</f>
        <v>45962</v>
      </c>
    </row>
    <row r="102" spans="1:9" x14ac:dyDescent="0.3">
      <c r="A102" s="6" t="s">
        <v>35</v>
      </c>
      <c r="B102" t="s">
        <v>64</v>
      </c>
      <c r="C102" t="s">
        <v>66</v>
      </c>
      <c r="D102" t="s">
        <v>77</v>
      </c>
      <c r="E102" t="s">
        <v>96</v>
      </c>
      <c r="F102" t="s">
        <v>129</v>
      </c>
      <c r="G102" s="1">
        <v>-91.93</v>
      </c>
      <c r="H102" s="4">
        <f>IFERROR(DATEVALUE(GL_Data[[#This Row],[Date]]),GL_Data[[#This Row],[Date]])</f>
        <v>45998</v>
      </c>
      <c r="I102" s="5">
        <f>DATE(YEAR(GL_Data[[#This Row],[Date_Real]]),MONTH(GL_Data[[#This Row],[Date_Real]]),1)</f>
        <v>45992</v>
      </c>
    </row>
    <row r="103" spans="1:9" x14ac:dyDescent="0.3">
      <c r="A103" s="6" t="s">
        <v>36</v>
      </c>
      <c r="B103" t="s">
        <v>64</v>
      </c>
      <c r="C103" t="s">
        <v>71</v>
      </c>
      <c r="D103" t="s">
        <v>77</v>
      </c>
      <c r="E103" t="s">
        <v>87</v>
      </c>
      <c r="F103" t="s">
        <v>112</v>
      </c>
      <c r="G103" s="1">
        <v>-30.93</v>
      </c>
      <c r="H103" s="4">
        <f>IFERROR(DATEVALUE(GL_Data[[#This Row],[Date]]),GL_Data[[#This Row],[Date]])</f>
        <v>46013</v>
      </c>
      <c r="I103" s="5">
        <f>DATE(YEAR(GL_Data[[#This Row],[Date_Real]]),MONTH(GL_Data[[#This Row],[Date_Real]]),1)</f>
        <v>45992</v>
      </c>
    </row>
    <row r="104" spans="1:9" x14ac:dyDescent="0.3">
      <c r="A104" s="6" t="s">
        <v>37</v>
      </c>
      <c r="B104" t="s">
        <v>64</v>
      </c>
      <c r="C104" t="s">
        <v>74</v>
      </c>
      <c r="D104" t="s">
        <v>77</v>
      </c>
      <c r="E104" t="s">
        <v>87</v>
      </c>
      <c r="F104" t="s">
        <v>107</v>
      </c>
      <c r="G104" s="1">
        <v>-189.31</v>
      </c>
      <c r="H104" s="4">
        <f>IFERROR(DATEVALUE(GL_Data[[#This Row],[Date]]),GL_Data[[#This Row],[Date]])</f>
        <v>46009</v>
      </c>
      <c r="I104" s="5">
        <f>DATE(YEAR(GL_Data[[#This Row],[Date_Real]]),MONTH(GL_Data[[#This Row],[Date_Real]]),1)</f>
        <v>45992</v>
      </c>
    </row>
    <row r="105" spans="1:9" x14ac:dyDescent="0.3">
      <c r="A105" s="6" t="s">
        <v>38</v>
      </c>
      <c r="B105" t="s">
        <v>64</v>
      </c>
      <c r="C105" t="s">
        <v>69</v>
      </c>
      <c r="D105" t="s">
        <v>77</v>
      </c>
      <c r="E105" t="s">
        <v>92</v>
      </c>
      <c r="F105" t="s">
        <v>131</v>
      </c>
      <c r="G105" s="1">
        <v>-1197.93</v>
      </c>
      <c r="H105" s="4">
        <f>IFERROR(DATEVALUE(GL_Data[[#This Row],[Date]]),GL_Data[[#This Row],[Date]])</f>
        <v>46001</v>
      </c>
      <c r="I105" s="5">
        <f>DATE(YEAR(GL_Data[[#This Row],[Date_Real]]),MONTH(GL_Data[[#This Row],[Date_Real]]),1)</f>
        <v>45992</v>
      </c>
    </row>
    <row r="106" spans="1:9" x14ac:dyDescent="0.3">
      <c r="A106" s="6" t="s">
        <v>39</v>
      </c>
      <c r="B106" t="s">
        <v>64</v>
      </c>
      <c r="C106" t="s">
        <v>73</v>
      </c>
      <c r="D106" t="s">
        <v>77</v>
      </c>
      <c r="E106" t="s">
        <v>87</v>
      </c>
      <c r="F106" t="s">
        <v>121</v>
      </c>
      <c r="G106" s="1">
        <v>-68.31</v>
      </c>
      <c r="H106" s="4">
        <f>IFERROR(DATEVALUE(GL_Data[[#This Row],[Date]]),GL_Data[[#This Row],[Date]])</f>
        <v>46018</v>
      </c>
      <c r="I106" s="5">
        <f>DATE(YEAR(GL_Data[[#This Row],[Date_Real]]),MONTH(GL_Data[[#This Row],[Date_Real]]),1)</f>
        <v>45992</v>
      </c>
    </row>
    <row r="107" spans="1:9" x14ac:dyDescent="0.3">
      <c r="A107" s="6" t="s">
        <v>40</v>
      </c>
      <c r="B107" t="s">
        <v>64</v>
      </c>
      <c r="C107" t="s">
        <v>65</v>
      </c>
      <c r="D107" t="s">
        <v>76</v>
      </c>
      <c r="E107" t="s">
        <v>80</v>
      </c>
      <c r="F107" t="s">
        <v>124</v>
      </c>
      <c r="G107" s="1">
        <v>-619.4</v>
      </c>
      <c r="H107" s="4">
        <f>IFERROR(DATEVALUE(GL_Data[[#This Row],[Date]]),GL_Data[[#This Row],[Date]])</f>
        <v>46004</v>
      </c>
      <c r="I107" s="5">
        <f>DATE(YEAR(GL_Data[[#This Row],[Date_Real]]),MONTH(GL_Data[[#This Row],[Date_Real]]),1)</f>
        <v>45992</v>
      </c>
    </row>
    <row r="108" spans="1:9" x14ac:dyDescent="0.3">
      <c r="A108" s="6" t="s">
        <v>41</v>
      </c>
      <c r="B108" t="s">
        <v>64</v>
      </c>
      <c r="C108" t="s">
        <v>68</v>
      </c>
      <c r="D108" t="s">
        <v>77</v>
      </c>
      <c r="E108" t="s">
        <v>97</v>
      </c>
      <c r="F108" t="s">
        <v>109</v>
      </c>
      <c r="G108" s="1">
        <v>-293.33</v>
      </c>
      <c r="H108" s="4">
        <f>IFERROR(DATEVALUE(GL_Data[[#This Row],[Date]]),GL_Data[[#This Row],[Date]])</f>
        <v>45994</v>
      </c>
      <c r="I108" s="5">
        <f>DATE(YEAR(GL_Data[[#This Row],[Date_Real]]),MONTH(GL_Data[[#This Row],[Date_Real]]),1)</f>
        <v>45992</v>
      </c>
    </row>
    <row r="109" spans="1:9" x14ac:dyDescent="0.3">
      <c r="A109" s="6" t="s">
        <v>42</v>
      </c>
      <c r="B109" t="s">
        <v>64</v>
      </c>
      <c r="C109" t="s">
        <v>67</v>
      </c>
      <c r="D109" t="s">
        <v>78</v>
      </c>
      <c r="E109" t="s">
        <v>82</v>
      </c>
      <c r="F109" t="s">
        <v>113</v>
      </c>
      <c r="G109" s="1">
        <v>1890.47</v>
      </c>
      <c r="H109" s="4">
        <f>IFERROR(DATEVALUE(GL_Data[[#This Row],[Date]]),GL_Data[[#This Row],[Date]])</f>
        <v>45993</v>
      </c>
      <c r="I109" s="5">
        <f>DATE(YEAR(GL_Data[[#This Row],[Date_Real]]),MONTH(GL_Data[[#This Row],[Date_Real]]),1)</f>
        <v>45992</v>
      </c>
    </row>
    <row r="110" spans="1:9" x14ac:dyDescent="0.3">
      <c r="A110" s="6" t="s">
        <v>36</v>
      </c>
      <c r="B110" t="s">
        <v>64</v>
      </c>
      <c r="C110" t="s">
        <v>65</v>
      </c>
      <c r="D110" t="s">
        <v>76</v>
      </c>
      <c r="E110" t="s">
        <v>80</v>
      </c>
      <c r="F110" t="s">
        <v>132</v>
      </c>
      <c r="G110" s="1">
        <v>-395.29</v>
      </c>
      <c r="H110" s="4">
        <f>IFERROR(DATEVALUE(GL_Data[[#This Row],[Date]]),GL_Data[[#This Row],[Date]])</f>
        <v>46013</v>
      </c>
      <c r="I110" s="5">
        <f>DATE(YEAR(GL_Data[[#This Row],[Date_Real]]),MONTH(GL_Data[[#This Row],[Date_Real]]),1)</f>
        <v>45992</v>
      </c>
    </row>
    <row r="111" spans="1:9" x14ac:dyDescent="0.3">
      <c r="A111" s="6" t="s">
        <v>43</v>
      </c>
      <c r="B111" t="s">
        <v>64</v>
      </c>
      <c r="C111" t="s">
        <v>67</v>
      </c>
      <c r="D111" t="s">
        <v>78</v>
      </c>
      <c r="E111" t="s">
        <v>82</v>
      </c>
      <c r="F111" t="s">
        <v>115</v>
      </c>
      <c r="G111" s="1">
        <v>774.62</v>
      </c>
      <c r="H111" s="4">
        <f>IFERROR(DATEVALUE(GL_Data[[#This Row],[Date]]),GL_Data[[#This Row],[Date]])</f>
        <v>46006</v>
      </c>
      <c r="I111" s="5">
        <f>DATE(YEAR(GL_Data[[#This Row],[Date_Real]]),MONTH(GL_Data[[#This Row],[Date_Real]]),1)</f>
        <v>45992</v>
      </c>
    </row>
    <row r="112" spans="1:9" x14ac:dyDescent="0.3">
      <c r="A112" s="6" t="s">
        <v>44</v>
      </c>
      <c r="B112" t="s">
        <v>64</v>
      </c>
      <c r="C112" t="s">
        <v>70</v>
      </c>
      <c r="D112" t="s">
        <v>79</v>
      </c>
      <c r="E112" t="s">
        <v>86</v>
      </c>
      <c r="F112" t="s">
        <v>106</v>
      </c>
      <c r="G112" s="1">
        <v>-475.24</v>
      </c>
      <c r="H112" s="4">
        <f>IFERROR(DATEVALUE(GL_Data[[#This Row],[Date]]),GL_Data[[#This Row],[Date]])</f>
        <v>46000</v>
      </c>
      <c r="I112" s="5">
        <f>DATE(YEAR(GL_Data[[#This Row],[Date_Real]]),MONTH(GL_Data[[#This Row],[Date_Real]]),1)</f>
        <v>45992</v>
      </c>
    </row>
    <row r="113" spans="1:9" x14ac:dyDescent="0.3">
      <c r="A113" s="6" t="s">
        <v>45</v>
      </c>
      <c r="B113" t="s">
        <v>64</v>
      </c>
      <c r="C113" t="s">
        <v>67</v>
      </c>
      <c r="D113" t="s">
        <v>78</v>
      </c>
      <c r="E113" t="s">
        <v>82</v>
      </c>
      <c r="F113" t="s">
        <v>102</v>
      </c>
      <c r="G113" s="1">
        <v>1970.66</v>
      </c>
      <c r="H113" s="4">
        <f>IFERROR(DATEVALUE(GL_Data[[#This Row],[Date]]),GL_Data[[#This Row],[Date]])</f>
        <v>45999</v>
      </c>
      <c r="I113" s="5">
        <f>DATE(YEAR(GL_Data[[#This Row],[Date_Real]]),MONTH(GL_Data[[#This Row],[Date_Real]]),1)</f>
        <v>45992</v>
      </c>
    </row>
    <row r="114" spans="1:9" x14ac:dyDescent="0.3">
      <c r="A114" s="6" t="s">
        <v>46</v>
      </c>
      <c r="B114" t="s">
        <v>64</v>
      </c>
      <c r="C114" t="s">
        <v>67</v>
      </c>
      <c r="D114" t="s">
        <v>78</v>
      </c>
      <c r="E114" t="s">
        <v>82</v>
      </c>
      <c r="F114" t="s">
        <v>115</v>
      </c>
      <c r="G114" s="1">
        <v>903.9</v>
      </c>
      <c r="H114" s="4">
        <f>IFERROR(DATEVALUE(GL_Data[[#This Row],[Date]]),GL_Data[[#This Row],[Date]])</f>
        <v>46003</v>
      </c>
      <c r="I114" s="5">
        <f>DATE(YEAR(GL_Data[[#This Row],[Date_Real]]),MONTH(GL_Data[[#This Row],[Date_Real]]),1)</f>
        <v>45992</v>
      </c>
    </row>
    <row r="115" spans="1:9" x14ac:dyDescent="0.3">
      <c r="A115" s="6" t="s">
        <v>47</v>
      </c>
      <c r="B115" t="s">
        <v>64</v>
      </c>
      <c r="C115" t="s">
        <v>70</v>
      </c>
      <c r="D115" t="s">
        <v>79</v>
      </c>
      <c r="E115" t="s">
        <v>89</v>
      </c>
      <c r="F115" t="s">
        <v>123</v>
      </c>
      <c r="G115" s="1">
        <v>-828.5</v>
      </c>
      <c r="H115" s="4">
        <f>IFERROR(DATEVALUE(GL_Data[[#This Row],[Date]]),GL_Data[[#This Row],[Date]])</f>
        <v>46007</v>
      </c>
      <c r="I115" s="5">
        <f>DATE(YEAR(GL_Data[[#This Row],[Date_Real]]),MONTH(GL_Data[[#This Row],[Date_Real]]),1)</f>
        <v>45992</v>
      </c>
    </row>
    <row r="116" spans="1:9" x14ac:dyDescent="0.3">
      <c r="A116" s="6" t="s">
        <v>41</v>
      </c>
      <c r="B116" t="s">
        <v>64</v>
      </c>
      <c r="C116" t="s">
        <v>70</v>
      </c>
      <c r="D116" t="s">
        <v>79</v>
      </c>
      <c r="E116" t="s">
        <v>89</v>
      </c>
      <c r="F116" t="s">
        <v>110</v>
      </c>
      <c r="G116" s="1">
        <v>-216.93</v>
      </c>
      <c r="H116" s="4">
        <f>IFERROR(DATEVALUE(GL_Data[[#This Row],[Date]]),GL_Data[[#This Row],[Date]])</f>
        <v>45994</v>
      </c>
      <c r="I116" s="5">
        <f>DATE(YEAR(GL_Data[[#This Row],[Date_Real]]),MONTH(GL_Data[[#This Row],[Date_Real]]),1)</f>
        <v>45992</v>
      </c>
    </row>
    <row r="117" spans="1:9" x14ac:dyDescent="0.3">
      <c r="A117" s="6" t="s">
        <v>40</v>
      </c>
      <c r="B117" t="s">
        <v>64</v>
      </c>
      <c r="C117" t="s">
        <v>67</v>
      </c>
      <c r="D117" t="s">
        <v>78</v>
      </c>
      <c r="E117" t="s">
        <v>82</v>
      </c>
      <c r="F117" t="s">
        <v>102</v>
      </c>
      <c r="G117" s="1">
        <v>843.28</v>
      </c>
      <c r="H117" s="4">
        <f>IFERROR(DATEVALUE(GL_Data[[#This Row],[Date]]),GL_Data[[#This Row],[Date]])</f>
        <v>46004</v>
      </c>
      <c r="I117" s="5">
        <f>DATE(YEAR(GL_Data[[#This Row],[Date_Real]]),MONTH(GL_Data[[#This Row],[Date_Real]]),1)</f>
        <v>45992</v>
      </c>
    </row>
    <row r="118" spans="1:9" x14ac:dyDescent="0.3">
      <c r="A118" s="6" t="s">
        <v>41</v>
      </c>
      <c r="B118" t="s">
        <v>64</v>
      </c>
      <c r="C118" t="s">
        <v>68</v>
      </c>
      <c r="D118" t="s">
        <v>77</v>
      </c>
      <c r="E118" t="s">
        <v>88</v>
      </c>
      <c r="F118" t="s">
        <v>117</v>
      </c>
      <c r="G118" s="1">
        <v>-186.29</v>
      </c>
      <c r="H118" s="4">
        <f>IFERROR(DATEVALUE(GL_Data[[#This Row],[Date]]),GL_Data[[#This Row],[Date]])</f>
        <v>45994</v>
      </c>
      <c r="I118" s="5">
        <f>DATE(YEAR(GL_Data[[#This Row],[Date_Real]]),MONTH(GL_Data[[#This Row],[Date_Real]]),1)</f>
        <v>45992</v>
      </c>
    </row>
    <row r="119" spans="1:9" x14ac:dyDescent="0.3">
      <c r="A119" s="6" t="s">
        <v>48</v>
      </c>
      <c r="B119" t="s">
        <v>64</v>
      </c>
      <c r="C119" t="s">
        <v>70</v>
      </c>
      <c r="D119" t="s">
        <v>79</v>
      </c>
      <c r="E119" t="s">
        <v>86</v>
      </c>
      <c r="F119" t="s">
        <v>123</v>
      </c>
      <c r="G119" s="1">
        <v>-1183.51</v>
      </c>
      <c r="H119" s="4">
        <f>IFERROR(DATEVALUE(GL_Data[[#This Row],[Date]]),GL_Data[[#This Row],[Date]])</f>
        <v>46016</v>
      </c>
      <c r="I119" s="5">
        <f>DATE(YEAR(GL_Data[[#This Row],[Date_Real]]),MONTH(GL_Data[[#This Row],[Date_Real]]),1)</f>
        <v>45992</v>
      </c>
    </row>
    <row r="120" spans="1:9" x14ac:dyDescent="0.3">
      <c r="A120" s="6" t="s">
        <v>49</v>
      </c>
      <c r="B120" t="s">
        <v>64</v>
      </c>
      <c r="C120" t="s">
        <v>68</v>
      </c>
      <c r="D120" t="s">
        <v>77</v>
      </c>
      <c r="E120" t="s">
        <v>88</v>
      </c>
      <c r="F120" t="s">
        <v>103</v>
      </c>
      <c r="G120" s="1">
        <v>-68.94</v>
      </c>
      <c r="H120" s="4">
        <f>IFERROR(DATEVALUE(GL_Data[[#This Row],[Date]]),GL_Data[[#This Row],[Date]])</f>
        <v>46015</v>
      </c>
      <c r="I120" s="5">
        <f>DATE(YEAR(GL_Data[[#This Row],[Date_Real]]),MONTH(GL_Data[[#This Row],[Date_Real]]),1)</f>
        <v>45992</v>
      </c>
    </row>
    <row r="121" spans="1:9" x14ac:dyDescent="0.3">
      <c r="A121" s="6" t="s">
        <v>49</v>
      </c>
      <c r="B121" t="s">
        <v>64</v>
      </c>
      <c r="C121" t="s">
        <v>69</v>
      </c>
      <c r="D121" t="s">
        <v>77</v>
      </c>
      <c r="E121" t="s">
        <v>84</v>
      </c>
      <c r="F121" t="s">
        <v>108</v>
      </c>
      <c r="G121" s="1">
        <v>-734.39</v>
      </c>
      <c r="H121" s="4">
        <f>IFERROR(DATEVALUE(GL_Data[[#This Row],[Date]]),GL_Data[[#This Row],[Date]])</f>
        <v>46015</v>
      </c>
      <c r="I121" s="5">
        <f>DATE(YEAR(GL_Data[[#This Row],[Date_Real]]),MONTH(GL_Data[[#This Row],[Date_Real]]),1)</f>
        <v>45992</v>
      </c>
    </row>
    <row r="122" spans="1:9" x14ac:dyDescent="0.3">
      <c r="A122" s="6" t="s">
        <v>50</v>
      </c>
      <c r="B122" t="s">
        <v>64</v>
      </c>
      <c r="C122" t="s">
        <v>74</v>
      </c>
      <c r="D122" t="s">
        <v>77</v>
      </c>
      <c r="E122" t="s">
        <v>87</v>
      </c>
      <c r="F122" t="s">
        <v>107</v>
      </c>
      <c r="G122" s="1">
        <v>-230.47</v>
      </c>
      <c r="H122" s="4">
        <f>IFERROR(DATEVALUE(GL_Data[[#This Row],[Date]]),GL_Data[[#This Row],[Date]])</f>
        <v>46010</v>
      </c>
      <c r="I122" s="5">
        <f>DATE(YEAR(GL_Data[[#This Row],[Date_Real]]),MONTH(GL_Data[[#This Row],[Date_Real]]),1)</f>
        <v>45992</v>
      </c>
    </row>
    <row r="123" spans="1:9" x14ac:dyDescent="0.3">
      <c r="A123" s="6" t="s">
        <v>51</v>
      </c>
      <c r="B123" t="s">
        <v>64</v>
      </c>
      <c r="C123" t="s">
        <v>73</v>
      </c>
      <c r="D123" t="s">
        <v>77</v>
      </c>
      <c r="E123" t="s">
        <v>87</v>
      </c>
      <c r="F123" t="s">
        <v>121</v>
      </c>
      <c r="G123" s="1">
        <v>-64.63</v>
      </c>
      <c r="H123" s="4">
        <f>IFERROR(DATEVALUE(GL_Data[[#This Row],[Date]]),GL_Data[[#This Row],[Date]])</f>
        <v>46017</v>
      </c>
      <c r="I123" s="5">
        <f>DATE(YEAR(GL_Data[[#This Row],[Date_Real]]),MONTH(GL_Data[[#This Row],[Date_Real]]),1)</f>
        <v>45992</v>
      </c>
    </row>
    <row r="124" spans="1:9" x14ac:dyDescent="0.3">
      <c r="A124" s="6" t="s">
        <v>41</v>
      </c>
      <c r="B124" t="s">
        <v>64</v>
      </c>
      <c r="C124" t="s">
        <v>67</v>
      </c>
      <c r="D124" t="s">
        <v>78</v>
      </c>
      <c r="E124" t="s">
        <v>82</v>
      </c>
      <c r="F124" t="s">
        <v>118</v>
      </c>
      <c r="G124" s="1">
        <v>509.53</v>
      </c>
      <c r="H124" s="4">
        <f>IFERROR(DATEVALUE(GL_Data[[#This Row],[Date]]),GL_Data[[#This Row],[Date]])</f>
        <v>45994</v>
      </c>
      <c r="I124" s="5">
        <f>DATE(YEAR(GL_Data[[#This Row],[Date_Real]]),MONTH(GL_Data[[#This Row],[Date_Real]]),1)</f>
        <v>45992</v>
      </c>
    </row>
    <row r="125" spans="1:9" x14ac:dyDescent="0.3">
      <c r="A125" s="6" t="s">
        <v>52</v>
      </c>
      <c r="B125" t="s">
        <v>64</v>
      </c>
      <c r="C125" t="s">
        <v>67</v>
      </c>
      <c r="D125" t="s">
        <v>78</v>
      </c>
      <c r="E125" t="s">
        <v>82</v>
      </c>
      <c r="F125" t="s">
        <v>113</v>
      </c>
      <c r="G125" s="1">
        <v>1879.85</v>
      </c>
      <c r="H125" s="4">
        <f>IFERROR(DATEVALUE(GL_Data[[#This Row],[Date]]),GL_Data[[#This Row],[Date]])</f>
        <v>46022</v>
      </c>
      <c r="I125" s="5">
        <f>DATE(YEAR(GL_Data[[#This Row],[Date_Real]]),MONTH(GL_Data[[#This Row],[Date_Real]]),1)</f>
        <v>45992</v>
      </c>
    </row>
    <row r="126" spans="1:9" x14ac:dyDescent="0.3">
      <c r="A126" s="6" t="s">
        <v>42</v>
      </c>
      <c r="B126" t="s">
        <v>64</v>
      </c>
      <c r="C126" t="s">
        <v>68</v>
      </c>
      <c r="D126" t="s">
        <v>77</v>
      </c>
      <c r="E126" t="s">
        <v>88</v>
      </c>
      <c r="F126" t="s">
        <v>117</v>
      </c>
      <c r="G126" s="1">
        <v>-215.91</v>
      </c>
      <c r="H126" s="4">
        <f>IFERROR(DATEVALUE(GL_Data[[#This Row],[Date]]),GL_Data[[#This Row],[Date]])</f>
        <v>45993</v>
      </c>
      <c r="I126" s="5">
        <f>DATE(YEAR(GL_Data[[#This Row],[Date_Real]]),MONTH(GL_Data[[#This Row],[Date_Real]]),1)</f>
        <v>45992</v>
      </c>
    </row>
    <row r="127" spans="1:9" x14ac:dyDescent="0.3">
      <c r="A127" s="6" t="s">
        <v>44</v>
      </c>
      <c r="B127" t="s">
        <v>64</v>
      </c>
      <c r="C127" t="s">
        <v>67</v>
      </c>
      <c r="D127" t="s">
        <v>78</v>
      </c>
      <c r="E127" t="s">
        <v>82</v>
      </c>
      <c r="F127" t="s">
        <v>113</v>
      </c>
      <c r="G127" s="1">
        <v>1805.51</v>
      </c>
      <c r="H127" s="4">
        <f>IFERROR(DATEVALUE(GL_Data[[#This Row],[Date]]),GL_Data[[#This Row],[Date]])</f>
        <v>46000</v>
      </c>
      <c r="I127" s="5">
        <f>DATE(YEAR(GL_Data[[#This Row],[Date_Real]]),MONTH(GL_Data[[#This Row],[Date_Real]]),1)</f>
        <v>45992</v>
      </c>
    </row>
    <row r="128" spans="1:9" x14ac:dyDescent="0.3">
      <c r="A128" s="6" t="s">
        <v>53</v>
      </c>
      <c r="B128" t="s">
        <v>64</v>
      </c>
      <c r="C128" t="s">
        <v>66</v>
      </c>
      <c r="D128" t="s">
        <v>77</v>
      </c>
      <c r="E128" t="s">
        <v>98</v>
      </c>
      <c r="F128" t="s">
        <v>101</v>
      </c>
      <c r="G128" s="1">
        <v>-194.51</v>
      </c>
      <c r="H128" s="4">
        <f>IFERROR(DATEVALUE(GL_Data[[#This Row],[Date]]),GL_Data[[#This Row],[Date]])</f>
        <v>46020</v>
      </c>
      <c r="I128" s="5">
        <f>DATE(YEAR(GL_Data[[#This Row],[Date_Real]]),MONTH(GL_Data[[#This Row],[Date_Real]]),1)</f>
        <v>45992</v>
      </c>
    </row>
    <row r="129" spans="1:9" x14ac:dyDescent="0.3">
      <c r="A129" s="6" t="s">
        <v>44</v>
      </c>
      <c r="B129" t="s">
        <v>64</v>
      </c>
      <c r="C129" t="s">
        <v>71</v>
      </c>
      <c r="D129" t="s">
        <v>77</v>
      </c>
      <c r="E129" t="s">
        <v>87</v>
      </c>
      <c r="F129" t="s">
        <v>121</v>
      </c>
      <c r="G129" s="1">
        <v>-55.77</v>
      </c>
      <c r="H129" s="4">
        <f>IFERROR(DATEVALUE(GL_Data[[#This Row],[Date]]),GL_Data[[#This Row],[Date]])</f>
        <v>46000</v>
      </c>
      <c r="I129" s="5">
        <f>DATE(YEAR(GL_Data[[#This Row],[Date_Real]]),MONTH(GL_Data[[#This Row],[Date_Real]]),1)</f>
        <v>45992</v>
      </c>
    </row>
    <row r="130" spans="1:9" x14ac:dyDescent="0.3">
      <c r="A130" s="6" t="s">
        <v>49</v>
      </c>
      <c r="B130" t="s">
        <v>64</v>
      </c>
      <c r="C130" t="s">
        <v>72</v>
      </c>
      <c r="D130" t="s">
        <v>77</v>
      </c>
      <c r="E130" t="s">
        <v>87</v>
      </c>
      <c r="F130" t="s">
        <v>112</v>
      </c>
      <c r="G130" s="1">
        <v>-111.53</v>
      </c>
      <c r="H130" s="4">
        <f>IFERROR(DATEVALUE(GL_Data[[#This Row],[Date]]),GL_Data[[#This Row],[Date]])</f>
        <v>46015</v>
      </c>
      <c r="I130" s="5">
        <f>DATE(YEAR(GL_Data[[#This Row],[Date_Real]]),MONTH(GL_Data[[#This Row],[Date_Real]]),1)</f>
        <v>45992</v>
      </c>
    </row>
    <row r="131" spans="1:9" x14ac:dyDescent="0.3">
      <c r="A131" s="6" t="s">
        <v>47</v>
      </c>
      <c r="B131" t="s">
        <v>64</v>
      </c>
      <c r="C131" t="s">
        <v>74</v>
      </c>
      <c r="D131" t="s">
        <v>77</v>
      </c>
      <c r="E131" t="s">
        <v>87</v>
      </c>
      <c r="F131" t="s">
        <v>114</v>
      </c>
      <c r="G131" s="1">
        <v>-157.66999999999999</v>
      </c>
      <c r="H131" s="4">
        <f>IFERROR(DATEVALUE(GL_Data[[#This Row],[Date]]),GL_Data[[#This Row],[Date]])</f>
        <v>46007</v>
      </c>
      <c r="I131" s="5">
        <f>DATE(YEAR(GL_Data[[#This Row],[Date_Real]]),MONTH(GL_Data[[#This Row],[Date_Real]]),1)</f>
        <v>45992</v>
      </c>
    </row>
    <row r="132" spans="1:9" x14ac:dyDescent="0.3">
      <c r="A132" s="6" t="s">
        <v>48</v>
      </c>
      <c r="B132" t="s">
        <v>64</v>
      </c>
      <c r="C132" t="s">
        <v>67</v>
      </c>
      <c r="D132" t="s">
        <v>78</v>
      </c>
      <c r="E132" t="s">
        <v>82</v>
      </c>
      <c r="F132" t="s">
        <v>102</v>
      </c>
      <c r="G132" s="1">
        <v>1483.95</v>
      </c>
      <c r="H132" s="4">
        <f>IFERROR(DATEVALUE(GL_Data[[#This Row],[Date]]),GL_Data[[#This Row],[Date]])</f>
        <v>46016</v>
      </c>
      <c r="I132" s="5">
        <f>DATE(YEAR(GL_Data[[#This Row],[Date_Real]]),MONTH(GL_Data[[#This Row],[Date_Real]]),1)</f>
        <v>45992</v>
      </c>
    </row>
    <row r="133" spans="1:9" x14ac:dyDescent="0.3">
      <c r="A133" s="6" t="s">
        <v>41</v>
      </c>
      <c r="B133" t="s">
        <v>64</v>
      </c>
      <c r="C133" t="s">
        <v>68</v>
      </c>
      <c r="D133" t="s">
        <v>77</v>
      </c>
      <c r="E133" t="s">
        <v>97</v>
      </c>
      <c r="F133" t="s">
        <v>111</v>
      </c>
      <c r="G133" s="1">
        <v>-126.02</v>
      </c>
      <c r="H133" s="4">
        <f>IFERROR(DATEVALUE(GL_Data[[#This Row],[Date]]),GL_Data[[#This Row],[Date]])</f>
        <v>45994</v>
      </c>
      <c r="I133" s="5">
        <f>DATE(YEAR(GL_Data[[#This Row],[Date_Real]]),MONTH(GL_Data[[#This Row],[Date_Real]]),1)</f>
        <v>45992</v>
      </c>
    </row>
    <row r="134" spans="1:9" x14ac:dyDescent="0.3">
      <c r="A134" s="6" t="s">
        <v>54</v>
      </c>
      <c r="B134" t="s">
        <v>64</v>
      </c>
      <c r="C134" t="s">
        <v>66</v>
      </c>
      <c r="D134" t="s">
        <v>77</v>
      </c>
      <c r="E134" t="s">
        <v>81</v>
      </c>
      <c r="F134" t="s">
        <v>101</v>
      </c>
      <c r="G134" s="1">
        <v>-151.47999999999999</v>
      </c>
      <c r="H134" s="4">
        <f>IFERROR(DATEVALUE(GL_Data[[#This Row],[Date]]),GL_Data[[#This Row],[Date]])</f>
        <v>45992</v>
      </c>
      <c r="I134" s="5">
        <f>DATE(YEAR(GL_Data[[#This Row],[Date_Real]]),MONTH(GL_Data[[#This Row],[Date_Real]]),1)</f>
        <v>45992</v>
      </c>
    </row>
    <row r="135" spans="1:9" x14ac:dyDescent="0.3">
      <c r="A135" s="6" t="s">
        <v>36</v>
      </c>
      <c r="B135" t="s">
        <v>64</v>
      </c>
      <c r="C135" t="s">
        <v>66</v>
      </c>
      <c r="D135" t="s">
        <v>77</v>
      </c>
      <c r="E135" t="s">
        <v>98</v>
      </c>
      <c r="F135" t="s">
        <v>119</v>
      </c>
      <c r="G135" s="1">
        <v>-206.8</v>
      </c>
      <c r="H135" s="4">
        <f>IFERROR(DATEVALUE(GL_Data[[#This Row],[Date]]),GL_Data[[#This Row],[Date]])</f>
        <v>46013</v>
      </c>
      <c r="I135" s="5">
        <f>DATE(YEAR(GL_Data[[#This Row],[Date_Real]]),MONTH(GL_Data[[#This Row],[Date_Real]]),1)</f>
        <v>45992</v>
      </c>
    </row>
    <row r="136" spans="1:9" x14ac:dyDescent="0.3">
      <c r="A136" s="6" t="s">
        <v>43</v>
      </c>
      <c r="B136" t="s">
        <v>64</v>
      </c>
      <c r="C136" t="s">
        <v>66</v>
      </c>
      <c r="D136" t="s">
        <v>77</v>
      </c>
      <c r="E136" t="s">
        <v>81</v>
      </c>
      <c r="F136" t="s">
        <v>127</v>
      </c>
      <c r="G136" s="1">
        <v>-60.39</v>
      </c>
      <c r="H136" s="4">
        <f>IFERROR(DATEVALUE(GL_Data[[#This Row],[Date]]),GL_Data[[#This Row],[Date]])</f>
        <v>46006</v>
      </c>
      <c r="I136" s="5">
        <f>DATE(YEAR(GL_Data[[#This Row],[Date_Real]]),MONTH(GL_Data[[#This Row],[Date_Real]]),1)</f>
        <v>45992</v>
      </c>
    </row>
    <row r="137" spans="1:9" x14ac:dyDescent="0.3">
      <c r="A137" s="6" t="s">
        <v>38</v>
      </c>
      <c r="B137" t="s">
        <v>64</v>
      </c>
      <c r="C137" t="s">
        <v>65</v>
      </c>
      <c r="D137" t="s">
        <v>76</v>
      </c>
      <c r="E137" t="s">
        <v>99</v>
      </c>
      <c r="F137" t="s">
        <v>100</v>
      </c>
      <c r="G137" s="1">
        <v>-592.71</v>
      </c>
      <c r="H137" s="4">
        <f>IFERROR(DATEVALUE(GL_Data[[#This Row],[Date]]),GL_Data[[#This Row],[Date]])</f>
        <v>46001</v>
      </c>
      <c r="I137" s="5">
        <f>DATE(YEAR(GL_Data[[#This Row],[Date_Real]]),MONTH(GL_Data[[#This Row],[Date_Real]]),1)</f>
        <v>45992</v>
      </c>
    </row>
    <row r="138" spans="1:9" x14ac:dyDescent="0.3">
      <c r="A138" s="6" t="s">
        <v>43</v>
      </c>
      <c r="B138" t="s">
        <v>64</v>
      </c>
      <c r="C138" t="s">
        <v>67</v>
      </c>
      <c r="D138" t="s">
        <v>78</v>
      </c>
      <c r="E138" t="s">
        <v>82</v>
      </c>
      <c r="F138" t="s">
        <v>120</v>
      </c>
      <c r="G138" s="1">
        <v>1237.9100000000001</v>
      </c>
      <c r="H138" s="4">
        <f>IFERROR(DATEVALUE(GL_Data[[#This Row],[Date]]),GL_Data[[#This Row],[Date]])</f>
        <v>46006</v>
      </c>
      <c r="I138" s="5">
        <f>DATE(YEAR(GL_Data[[#This Row],[Date_Real]]),MONTH(GL_Data[[#This Row],[Date_Real]]),1)</f>
        <v>45992</v>
      </c>
    </row>
    <row r="139" spans="1:9" x14ac:dyDescent="0.3">
      <c r="A139" s="6" t="s">
        <v>44</v>
      </c>
      <c r="B139" t="s">
        <v>64</v>
      </c>
      <c r="C139" t="s">
        <v>70</v>
      </c>
      <c r="D139" t="s">
        <v>79</v>
      </c>
      <c r="E139" t="s">
        <v>89</v>
      </c>
      <c r="F139" t="s">
        <v>123</v>
      </c>
      <c r="G139" s="1">
        <v>-1109.8800000000001</v>
      </c>
      <c r="H139" s="4">
        <f>IFERROR(DATEVALUE(GL_Data[[#This Row],[Date]]),GL_Data[[#This Row],[Date]])</f>
        <v>46000</v>
      </c>
      <c r="I139" s="5">
        <f>DATE(YEAR(GL_Data[[#This Row],[Date_Real]]),MONTH(GL_Data[[#This Row],[Date_Real]]),1)</f>
        <v>45992</v>
      </c>
    </row>
    <row r="140" spans="1:9" x14ac:dyDescent="0.3">
      <c r="A140" s="6" t="s">
        <v>50</v>
      </c>
      <c r="B140" t="s">
        <v>64</v>
      </c>
      <c r="C140" t="s">
        <v>67</v>
      </c>
      <c r="D140" t="s">
        <v>78</v>
      </c>
      <c r="E140" t="s">
        <v>82</v>
      </c>
      <c r="F140" t="s">
        <v>118</v>
      </c>
      <c r="G140" s="1">
        <v>1707.6</v>
      </c>
      <c r="H140" s="4">
        <f>IFERROR(DATEVALUE(GL_Data[[#This Row],[Date]]),GL_Data[[#This Row],[Date]])</f>
        <v>46010</v>
      </c>
      <c r="I140" s="5">
        <f>DATE(YEAR(GL_Data[[#This Row],[Date_Real]]),MONTH(GL_Data[[#This Row],[Date_Real]]),1)</f>
        <v>45992</v>
      </c>
    </row>
    <row r="141" spans="1:9" x14ac:dyDescent="0.3">
      <c r="A141" s="6" t="s">
        <v>52</v>
      </c>
      <c r="B141" t="s">
        <v>64</v>
      </c>
      <c r="C141" t="s">
        <v>70</v>
      </c>
      <c r="D141" t="s">
        <v>79</v>
      </c>
      <c r="E141" t="s">
        <v>86</v>
      </c>
      <c r="F141" t="s">
        <v>106</v>
      </c>
      <c r="G141" s="1">
        <v>-771.63</v>
      </c>
      <c r="H141" s="4">
        <f>IFERROR(DATEVALUE(GL_Data[[#This Row],[Date]]),GL_Data[[#This Row],[Date]])</f>
        <v>46022</v>
      </c>
      <c r="I141" s="5">
        <f>DATE(YEAR(GL_Data[[#This Row],[Date_Real]]),MONTH(GL_Data[[#This Row],[Date_Real]]),1)</f>
        <v>45992</v>
      </c>
    </row>
    <row r="142" spans="1:9" x14ac:dyDescent="0.3">
      <c r="A142" s="6" t="s">
        <v>53</v>
      </c>
      <c r="B142" t="s">
        <v>64</v>
      </c>
      <c r="C142" t="s">
        <v>67</v>
      </c>
      <c r="D142" t="s">
        <v>78</v>
      </c>
      <c r="E142" t="s">
        <v>82</v>
      </c>
      <c r="F142" t="s">
        <v>120</v>
      </c>
      <c r="G142" s="1">
        <v>962.12</v>
      </c>
      <c r="H142" s="4">
        <f>IFERROR(DATEVALUE(GL_Data[[#This Row],[Date]]),GL_Data[[#This Row],[Date]])</f>
        <v>46020</v>
      </c>
      <c r="I142" s="5">
        <f>DATE(YEAR(GL_Data[[#This Row],[Date_Real]]),MONTH(GL_Data[[#This Row],[Date_Real]]),1)</f>
        <v>45992</v>
      </c>
    </row>
    <row r="143" spans="1:9" x14ac:dyDescent="0.3">
      <c r="A143" s="6" t="s">
        <v>53</v>
      </c>
      <c r="B143" t="s">
        <v>64</v>
      </c>
      <c r="C143" t="s">
        <v>74</v>
      </c>
      <c r="D143" t="s">
        <v>77</v>
      </c>
      <c r="E143" t="s">
        <v>87</v>
      </c>
      <c r="F143" t="s">
        <v>121</v>
      </c>
      <c r="G143" s="1">
        <v>-189.41</v>
      </c>
      <c r="H143" s="4">
        <f>IFERROR(DATEVALUE(GL_Data[[#This Row],[Date]]),GL_Data[[#This Row],[Date]])</f>
        <v>46020</v>
      </c>
      <c r="I143" s="5">
        <f>DATE(YEAR(GL_Data[[#This Row],[Date_Real]]),MONTH(GL_Data[[#This Row],[Date_Real]]),1)</f>
        <v>45992</v>
      </c>
    </row>
    <row r="144" spans="1:9" x14ac:dyDescent="0.3">
      <c r="A144" s="6" t="s">
        <v>54</v>
      </c>
      <c r="B144" t="s">
        <v>64</v>
      </c>
      <c r="C144" t="s">
        <v>65</v>
      </c>
      <c r="D144" t="s">
        <v>76</v>
      </c>
      <c r="E144" t="s">
        <v>99</v>
      </c>
      <c r="F144" t="s">
        <v>128</v>
      </c>
      <c r="G144" s="1">
        <v>-443.73</v>
      </c>
      <c r="H144" s="4">
        <f>IFERROR(DATEVALUE(GL_Data[[#This Row],[Date]]),GL_Data[[#This Row],[Date]])</f>
        <v>45992</v>
      </c>
      <c r="I144" s="5">
        <f>DATE(YEAR(GL_Data[[#This Row],[Date_Real]]),MONTH(GL_Data[[#This Row],[Date_Real]]),1)</f>
        <v>45992</v>
      </c>
    </row>
    <row r="145" spans="1:9" x14ac:dyDescent="0.3">
      <c r="A145" s="6" t="s">
        <v>49</v>
      </c>
      <c r="B145" t="s">
        <v>64</v>
      </c>
      <c r="C145" t="s">
        <v>67</v>
      </c>
      <c r="D145" t="s">
        <v>78</v>
      </c>
      <c r="E145" t="s">
        <v>82</v>
      </c>
      <c r="F145" t="s">
        <v>118</v>
      </c>
      <c r="G145" s="1">
        <v>920.72</v>
      </c>
      <c r="H145" s="4">
        <f>IFERROR(DATEVALUE(GL_Data[[#This Row],[Date]]),GL_Data[[#This Row],[Date]])</f>
        <v>46015</v>
      </c>
      <c r="I145" s="5">
        <f>DATE(YEAR(GL_Data[[#This Row],[Date_Real]]),MONTH(GL_Data[[#This Row],[Date_Real]]),1)</f>
        <v>45992</v>
      </c>
    </row>
    <row r="146" spans="1:9" x14ac:dyDescent="0.3">
      <c r="A146" s="6" t="s">
        <v>55</v>
      </c>
      <c r="B146" t="s">
        <v>64</v>
      </c>
      <c r="C146" t="s">
        <v>74</v>
      </c>
      <c r="D146" t="s">
        <v>77</v>
      </c>
      <c r="E146" t="s">
        <v>87</v>
      </c>
      <c r="F146" t="s">
        <v>114</v>
      </c>
      <c r="G146" s="1">
        <v>-150.16999999999999</v>
      </c>
      <c r="H146" s="4">
        <f>IFERROR(DATEVALUE(GL_Data[[#This Row],[Date]]),GL_Data[[#This Row],[Date]])</f>
        <v>45995</v>
      </c>
      <c r="I146" s="5">
        <f>DATE(YEAR(GL_Data[[#This Row],[Date_Real]]),MONTH(GL_Data[[#This Row],[Date_Real]]),1)</f>
        <v>45992</v>
      </c>
    </row>
    <row r="147" spans="1:9" x14ac:dyDescent="0.3">
      <c r="A147" s="6" t="s">
        <v>39</v>
      </c>
      <c r="B147" t="s">
        <v>64</v>
      </c>
      <c r="C147" t="s">
        <v>70</v>
      </c>
      <c r="D147" t="s">
        <v>79</v>
      </c>
      <c r="E147" t="s">
        <v>89</v>
      </c>
      <c r="F147" t="s">
        <v>123</v>
      </c>
      <c r="G147" s="1">
        <v>-1135.07</v>
      </c>
      <c r="H147" s="4">
        <f>IFERROR(DATEVALUE(GL_Data[[#This Row],[Date]]),GL_Data[[#This Row],[Date]])</f>
        <v>46018</v>
      </c>
      <c r="I147" s="5">
        <f>DATE(YEAR(GL_Data[[#This Row],[Date_Real]]),MONTH(GL_Data[[#This Row],[Date_Real]]),1)</f>
        <v>45992</v>
      </c>
    </row>
    <row r="148" spans="1:9" x14ac:dyDescent="0.3">
      <c r="A148" s="6" t="s">
        <v>53</v>
      </c>
      <c r="B148" t="s">
        <v>64</v>
      </c>
      <c r="C148" t="s">
        <v>72</v>
      </c>
      <c r="D148" t="s">
        <v>77</v>
      </c>
      <c r="E148" t="s">
        <v>87</v>
      </c>
      <c r="F148" t="s">
        <v>125</v>
      </c>
      <c r="G148" s="1">
        <v>-118.5</v>
      </c>
      <c r="H148" s="4">
        <f>IFERROR(DATEVALUE(GL_Data[[#This Row],[Date]]),GL_Data[[#This Row],[Date]])</f>
        <v>46020</v>
      </c>
      <c r="I148" s="5">
        <f>DATE(YEAR(GL_Data[[#This Row],[Date_Real]]),MONTH(GL_Data[[#This Row],[Date_Real]]),1)</f>
        <v>45992</v>
      </c>
    </row>
    <row r="149" spans="1:9" x14ac:dyDescent="0.3">
      <c r="A149" s="6" t="s">
        <v>40</v>
      </c>
      <c r="B149" t="s">
        <v>64</v>
      </c>
      <c r="C149" t="s">
        <v>70</v>
      </c>
      <c r="D149" t="s">
        <v>79</v>
      </c>
      <c r="E149" t="s">
        <v>86</v>
      </c>
      <c r="F149" t="s">
        <v>105</v>
      </c>
      <c r="G149" s="1">
        <v>-1059.57</v>
      </c>
      <c r="H149" s="4">
        <f>IFERROR(DATEVALUE(GL_Data[[#This Row],[Date]]),GL_Data[[#This Row],[Date]])</f>
        <v>46004</v>
      </c>
      <c r="I149" s="5">
        <f>DATE(YEAR(GL_Data[[#This Row],[Date_Real]]),MONTH(GL_Data[[#This Row],[Date_Real]]),1)</f>
        <v>45992</v>
      </c>
    </row>
    <row r="150" spans="1:9" x14ac:dyDescent="0.3">
      <c r="A150" s="6" t="s">
        <v>56</v>
      </c>
      <c r="B150" t="s">
        <v>64</v>
      </c>
      <c r="C150" t="s">
        <v>70</v>
      </c>
      <c r="D150" t="s">
        <v>79</v>
      </c>
      <c r="E150" t="s">
        <v>86</v>
      </c>
      <c r="F150" t="s">
        <v>105</v>
      </c>
      <c r="G150" s="1">
        <v>-417.17</v>
      </c>
      <c r="H150" s="4">
        <f>IFERROR(DATEVALUE(GL_Data[[#This Row],[Date]]),GL_Data[[#This Row],[Date]])</f>
        <v>46021</v>
      </c>
      <c r="I150" s="5">
        <f>DATE(YEAR(GL_Data[[#This Row],[Date_Real]]),MONTH(GL_Data[[#This Row],[Date_Real]]),1)</f>
        <v>45992</v>
      </c>
    </row>
    <row r="151" spans="1:9" x14ac:dyDescent="0.3">
      <c r="A151" s="6" t="s">
        <v>55</v>
      </c>
      <c r="B151" t="s">
        <v>64</v>
      </c>
      <c r="C151" t="s">
        <v>67</v>
      </c>
      <c r="D151" t="s">
        <v>78</v>
      </c>
      <c r="E151" t="s">
        <v>82</v>
      </c>
      <c r="F151" t="s">
        <v>102</v>
      </c>
      <c r="G151" s="1">
        <v>1540.86</v>
      </c>
      <c r="H151" s="4">
        <f>IFERROR(DATEVALUE(GL_Data[[#This Row],[Date]]),GL_Data[[#This Row],[Date]])</f>
        <v>45995</v>
      </c>
      <c r="I151" s="5">
        <f>DATE(YEAR(GL_Data[[#This Row],[Date_Real]]),MONTH(GL_Data[[#This Row],[Date_Real]]),1)</f>
        <v>45992</v>
      </c>
    </row>
    <row r="152" spans="1:9" x14ac:dyDescent="0.3">
      <c r="A152" s="6" t="s">
        <v>45</v>
      </c>
      <c r="B152" t="s">
        <v>64</v>
      </c>
      <c r="C152" t="s">
        <v>65</v>
      </c>
      <c r="D152" t="s">
        <v>76</v>
      </c>
      <c r="E152" t="s">
        <v>80</v>
      </c>
      <c r="F152" t="s">
        <v>132</v>
      </c>
      <c r="G152" s="1">
        <v>-300.2</v>
      </c>
      <c r="H152" s="4">
        <f>IFERROR(DATEVALUE(GL_Data[[#This Row],[Date]]),GL_Data[[#This Row],[Date]])</f>
        <v>45999</v>
      </c>
      <c r="I152" s="5">
        <f>DATE(YEAR(GL_Data[[#This Row],[Date_Real]]),MONTH(GL_Data[[#This Row],[Date_Real]]),1)</f>
        <v>45992</v>
      </c>
    </row>
    <row r="153" spans="1:9" x14ac:dyDescent="0.3">
      <c r="A153" s="6" t="s">
        <v>48</v>
      </c>
      <c r="B153" t="s">
        <v>64</v>
      </c>
      <c r="C153" t="s">
        <v>70</v>
      </c>
      <c r="D153" t="s">
        <v>79</v>
      </c>
      <c r="E153" t="s">
        <v>94</v>
      </c>
      <c r="F153" t="s">
        <v>105</v>
      </c>
      <c r="G153" s="1">
        <v>-1152.6600000000001</v>
      </c>
      <c r="H153" s="4">
        <f>IFERROR(DATEVALUE(GL_Data[[#This Row],[Date]]),GL_Data[[#This Row],[Date]])</f>
        <v>46016</v>
      </c>
      <c r="I153" s="5">
        <f>DATE(YEAR(GL_Data[[#This Row],[Date_Real]]),MONTH(GL_Data[[#This Row],[Date_Real]]),1)</f>
        <v>45992</v>
      </c>
    </row>
    <row r="154" spans="1:9" x14ac:dyDescent="0.3">
      <c r="A154" s="6" t="s">
        <v>56</v>
      </c>
      <c r="B154" t="s">
        <v>64</v>
      </c>
      <c r="C154" t="s">
        <v>74</v>
      </c>
      <c r="D154" t="s">
        <v>77</v>
      </c>
      <c r="E154" t="s">
        <v>87</v>
      </c>
      <c r="F154" t="s">
        <v>121</v>
      </c>
      <c r="G154" s="1">
        <v>-205.42</v>
      </c>
      <c r="H154" s="4">
        <f>IFERROR(DATEVALUE(GL_Data[[#This Row],[Date]]),GL_Data[[#This Row],[Date]])</f>
        <v>46021</v>
      </c>
      <c r="I154" s="5">
        <f>DATE(YEAR(GL_Data[[#This Row],[Date_Real]]),MONTH(GL_Data[[#This Row],[Date_Real]]),1)</f>
        <v>45992</v>
      </c>
    </row>
    <row r="155" spans="1:9" x14ac:dyDescent="0.3">
      <c r="A155" s="6" t="s">
        <v>49</v>
      </c>
      <c r="B155" t="s">
        <v>64</v>
      </c>
      <c r="C155" t="s">
        <v>67</v>
      </c>
      <c r="D155" t="s">
        <v>78</v>
      </c>
      <c r="E155" t="s">
        <v>82</v>
      </c>
      <c r="F155" t="s">
        <v>120</v>
      </c>
      <c r="G155" s="1">
        <v>2070.2600000000002</v>
      </c>
      <c r="H155" s="4">
        <f>IFERROR(DATEVALUE(GL_Data[[#This Row],[Date]]),GL_Data[[#This Row],[Date]])</f>
        <v>46015</v>
      </c>
      <c r="I155" s="5">
        <f>DATE(YEAR(GL_Data[[#This Row],[Date_Real]]),MONTH(GL_Data[[#This Row],[Date_Real]]),1)</f>
        <v>45992</v>
      </c>
    </row>
    <row r="156" spans="1:9" x14ac:dyDescent="0.3">
      <c r="A156" s="6" t="s">
        <v>43</v>
      </c>
      <c r="B156" t="s">
        <v>64</v>
      </c>
      <c r="C156" t="s">
        <v>68</v>
      </c>
      <c r="D156" t="s">
        <v>77</v>
      </c>
      <c r="E156" t="s">
        <v>88</v>
      </c>
      <c r="F156" t="s">
        <v>111</v>
      </c>
      <c r="G156" s="1">
        <v>-67.05</v>
      </c>
      <c r="H156" s="4">
        <f>IFERROR(DATEVALUE(GL_Data[[#This Row],[Date]]),GL_Data[[#This Row],[Date]])</f>
        <v>46006</v>
      </c>
      <c r="I156" s="5">
        <f>DATE(YEAR(GL_Data[[#This Row],[Date_Real]]),MONTH(GL_Data[[#This Row],[Date_Real]]),1)</f>
        <v>45992</v>
      </c>
    </row>
    <row r="157" spans="1:9" x14ac:dyDescent="0.3">
      <c r="A157" s="6" t="s">
        <v>42</v>
      </c>
      <c r="B157" t="s">
        <v>64</v>
      </c>
      <c r="C157" t="s">
        <v>75</v>
      </c>
      <c r="D157" t="s">
        <v>77</v>
      </c>
      <c r="E157" t="s">
        <v>87</v>
      </c>
      <c r="F157" t="s">
        <v>121</v>
      </c>
      <c r="G157" s="1">
        <v>-70.510000000000005</v>
      </c>
      <c r="H157" s="4">
        <f>IFERROR(DATEVALUE(GL_Data[[#This Row],[Date]]),GL_Data[[#This Row],[Date]])</f>
        <v>45993</v>
      </c>
      <c r="I157" s="5">
        <f>DATE(YEAR(GL_Data[[#This Row],[Date_Real]]),MONTH(GL_Data[[#This Row],[Date_Real]]),1)</f>
        <v>45992</v>
      </c>
    </row>
    <row r="158" spans="1:9" x14ac:dyDescent="0.3">
      <c r="A158" s="6" t="s">
        <v>47</v>
      </c>
      <c r="B158" t="s">
        <v>64</v>
      </c>
      <c r="C158" t="s">
        <v>70</v>
      </c>
      <c r="D158" t="s">
        <v>79</v>
      </c>
      <c r="E158" t="s">
        <v>86</v>
      </c>
      <c r="F158" t="s">
        <v>122</v>
      </c>
      <c r="G158" s="1">
        <v>-424.29</v>
      </c>
      <c r="H158" s="4">
        <f>IFERROR(DATEVALUE(GL_Data[[#This Row],[Date]]),GL_Data[[#This Row],[Date]])</f>
        <v>46007</v>
      </c>
      <c r="I158" s="5">
        <f>DATE(YEAR(GL_Data[[#This Row],[Date_Real]]),MONTH(GL_Data[[#This Row],[Date_Real]]),1)</f>
        <v>45992</v>
      </c>
    </row>
    <row r="159" spans="1:9" x14ac:dyDescent="0.3">
      <c r="A159" s="6" t="s">
        <v>40</v>
      </c>
      <c r="B159" t="s">
        <v>64</v>
      </c>
      <c r="C159" t="s">
        <v>69</v>
      </c>
      <c r="D159" t="s">
        <v>77</v>
      </c>
      <c r="E159" t="s">
        <v>84</v>
      </c>
      <c r="F159" t="s">
        <v>108</v>
      </c>
      <c r="G159" s="1">
        <v>-535.41</v>
      </c>
      <c r="H159" s="4">
        <f>IFERROR(DATEVALUE(GL_Data[[#This Row],[Date]]),GL_Data[[#This Row],[Date]])</f>
        <v>46004</v>
      </c>
      <c r="I159" s="5">
        <f>DATE(YEAR(GL_Data[[#This Row],[Date_Real]]),MONTH(GL_Data[[#This Row],[Date_Real]]),1)</f>
        <v>45992</v>
      </c>
    </row>
    <row r="160" spans="1:9" x14ac:dyDescent="0.3">
      <c r="A160" s="6" t="s">
        <v>40</v>
      </c>
      <c r="B160" t="s">
        <v>64</v>
      </c>
      <c r="C160" t="s">
        <v>67</v>
      </c>
      <c r="D160" t="s">
        <v>78</v>
      </c>
      <c r="E160" t="s">
        <v>82</v>
      </c>
      <c r="F160" t="s">
        <v>115</v>
      </c>
      <c r="G160" s="1">
        <v>1504.25</v>
      </c>
      <c r="H160" s="4">
        <f>IFERROR(DATEVALUE(GL_Data[[#This Row],[Date]]),GL_Data[[#This Row],[Date]])</f>
        <v>46004</v>
      </c>
      <c r="I160" s="5">
        <f>DATE(YEAR(GL_Data[[#This Row],[Date_Real]]),MONTH(GL_Data[[#This Row],[Date_Real]]),1)</f>
        <v>45992</v>
      </c>
    </row>
    <row r="161" spans="1:9" x14ac:dyDescent="0.3">
      <c r="A161" s="6" t="s">
        <v>35</v>
      </c>
      <c r="B161" t="s">
        <v>64</v>
      </c>
      <c r="C161" t="s">
        <v>66</v>
      </c>
      <c r="D161" t="s">
        <v>77</v>
      </c>
      <c r="E161" t="s">
        <v>81</v>
      </c>
      <c r="F161" t="s">
        <v>127</v>
      </c>
      <c r="G161" s="1">
        <v>-232.33</v>
      </c>
      <c r="H161" s="4">
        <f>IFERROR(DATEVALUE(GL_Data[[#This Row],[Date]]),GL_Data[[#This Row],[Date]])</f>
        <v>45998</v>
      </c>
      <c r="I161" s="5">
        <f>DATE(YEAR(GL_Data[[#This Row],[Date_Real]]),MONTH(GL_Data[[#This Row],[Date_Real]]),1)</f>
        <v>45992</v>
      </c>
    </row>
    <row r="162" spans="1:9" x14ac:dyDescent="0.3">
      <c r="A162" s="6" t="s">
        <v>43</v>
      </c>
      <c r="B162" t="s">
        <v>64</v>
      </c>
      <c r="C162" t="s">
        <v>73</v>
      </c>
      <c r="D162" t="s">
        <v>77</v>
      </c>
      <c r="E162" t="s">
        <v>87</v>
      </c>
      <c r="F162" t="s">
        <v>112</v>
      </c>
      <c r="G162" s="1">
        <v>-89.72</v>
      </c>
      <c r="H162" s="4">
        <f>IFERROR(DATEVALUE(GL_Data[[#This Row],[Date]]),GL_Data[[#This Row],[Date]])</f>
        <v>46006</v>
      </c>
      <c r="I162" s="5">
        <f>DATE(YEAR(GL_Data[[#This Row],[Date_Real]]),MONTH(GL_Data[[#This Row],[Date_Real]]),1)</f>
        <v>45992</v>
      </c>
    </row>
    <row r="163" spans="1:9" x14ac:dyDescent="0.3">
      <c r="A163" s="6" t="s">
        <v>57</v>
      </c>
      <c r="B163" t="s">
        <v>64</v>
      </c>
      <c r="C163" t="s">
        <v>67</v>
      </c>
      <c r="D163" t="s">
        <v>78</v>
      </c>
      <c r="E163" t="s">
        <v>82</v>
      </c>
      <c r="F163" t="s">
        <v>115</v>
      </c>
      <c r="G163" s="1">
        <v>625.19000000000005</v>
      </c>
      <c r="H163" s="4">
        <f>IFERROR(DATEVALUE(GL_Data[[#This Row],[Date]]),GL_Data[[#This Row],[Date]])</f>
        <v>46005</v>
      </c>
      <c r="I163" s="5">
        <f>DATE(YEAR(GL_Data[[#This Row],[Date_Real]]),MONTH(GL_Data[[#This Row],[Date_Real]]),1)</f>
        <v>45992</v>
      </c>
    </row>
    <row r="164" spans="1:9" x14ac:dyDescent="0.3">
      <c r="A164" s="6" t="s">
        <v>58</v>
      </c>
      <c r="B164" t="s">
        <v>64</v>
      </c>
      <c r="C164" t="s">
        <v>70</v>
      </c>
      <c r="D164" t="s">
        <v>79</v>
      </c>
      <c r="E164" t="s">
        <v>86</v>
      </c>
      <c r="F164" t="s">
        <v>123</v>
      </c>
      <c r="G164" s="1">
        <v>-218.38</v>
      </c>
      <c r="H164" s="4">
        <f>IFERROR(DATEVALUE(GL_Data[[#This Row],[Date]]),GL_Data[[#This Row],[Date]])</f>
        <v>45997</v>
      </c>
      <c r="I164" s="5">
        <f>DATE(YEAR(GL_Data[[#This Row],[Date_Real]]),MONTH(GL_Data[[#This Row],[Date_Real]]),1)</f>
        <v>45992</v>
      </c>
    </row>
    <row r="165" spans="1:9" x14ac:dyDescent="0.3">
      <c r="A165" s="6" t="s">
        <v>44</v>
      </c>
      <c r="B165" t="s">
        <v>64</v>
      </c>
      <c r="C165" t="s">
        <v>71</v>
      </c>
      <c r="D165" t="s">
        <v>77</v>
      </c>
      <c r="E165" t="s">
        <v>87</v>
      </c>
      <c r="F165" t="s">
        <v>125</v>
      </c>
      <c r="G165" s="1">
        <v>-17.13</v>
      </c>
      <c r="H165" s="4">
        <f>IFERROR(DATEVALUE(GL_Data[[#This Row],[Date]]),GL_Data[[#This Row],[Date]])</f>
        <v>46000</v>
      </c>
      <c r="I165" s="5">
        <f>DATE(YEAR(GL_Data[[#This Row],[Date_Real]]),MONTH(GL_Data[[#This Row],[Date_Real]]),1)</f>
        <v>45992</v>
      </c>
    </row>
    <row r="166" spans="1:9" x14ac:dyDescent="0.3">
      <c r="A166" s="6" t="s">
        <v>49</v>
      </c>
      <c r="B166" t="s">
        <v>64</v>
      </c>
      <c r="C166" t="s">
        <v>74</v>
      </c>
      <c r="D166" t="s">
        <v>77</v>
      </c>
      <c r="E166" t="s">
        <v>87</v>
      </c>
      <c r="F166" t="s">
        <v>107</v>
      </c>
      <c r="G166" s="1">
        <v>-188.28</v>
      </c>
      <c r="H166" s="4">
        <f>IFERROR(DATEVALUE(GL_Data[[#This Row],[Date]]),GL_Data[[#This Row],[Date]])</f>
        <v>46015</v>
      </c>
      <c r="I166" s="5">
        <f>DATE(YEAR(GL_Data[[#This Row],[Date_Real]]),MONTH(GL_Data[[#This Row],[Date_Real]]),1)</f>
        <v>45992</v>
      </c>
    </row>
    <row r="167" spans="1:9" x14ac:dyDescent="0.3">
      <c r="A167" s="6" t="s">
        <v>35</v>
      </c>
      <c r="B167" t="s">
        <v>64</v>
      </c>
      <c r="C167" t="s">
        <v>70</v>
      </c>
      <c r="D167" t="s">
        <v>79</v>
      </c>
      <c r="E167" t="s">
        <v>94</v>
      </c>
      <c r="F167" t="s">
        <v>105</v>
      </c>
      <c r="G167" s="1">
        <v>-485.26</v>
      </c>
      <c r="H167" s="4">
        <f>IFERROR(DATEVALUE(GL_Data[[#This Row],[Date]]),GL_Data[[#This Row],[Date]])</f>
        <v>45998</v>
      </c>
      <c r="I167" s="5">
        <f>DATE(YEAR(GL_Data[[#This Row],[Date_Real]]),MONTH(GL_Data[[#This Row],[Date_Real]]),1)</f>
        <v>45992</v>
      </c>
    </row>
    <row r="168" spans="1:9" x14ac:dyDescent="0.3">
      <c r="A168" s="6" t="s">
        <v>44</v>
      </c>
      <c r="B168" t="s">
        <v>64</v>
      </c>
      <c r="C168" t="s">
        <v>68</v>
      </c>
      <c r="D168" t="s">
        <v>77</v>
      </c>
      <c r="E168" t="s">
        <v>97</v>
      </c>
      <c r="F168" t="s">
        <v>103</v>
      </c>
      <c r="G168" s="1">
        <v>-134.68</v>
      </c>
      <c r="H168" s="4">
        <f>IFERROR(DATEVALUE(GL_Data[[#This Row],[Date]]),GL_Data[[#This Row],[Date]])</f>
        <v>46000</v>
      </c>
      <c r="I168" s="5">
        <f>DATE(YEAR(GL_Data[[#This Row],[Date_Real]]),MONTH(GL_Data[[#This Row],[Date_Real]]),1)</f>
        <v>45992</v>
      </c>
    </row>
    <row r="169" spans="1:9" x14ac:dyDescent="0.3">
      <c r="A169" s="6" t="s">
        <v>41</v>
      </c>
      <c r="B169" t="s">
        <v>64</v>
      </c>
      <c r="C169" t="s">
        <v>70</v>
      </c>
      <c r="D169" t="s">
        <v>79</v>
      </c>
      <c r="E169" t="s">
        <v>94</v>
      </c>
      <c r="F169" t="s">
        <v>110</v>
      </c>
      <c r="G169" s="1">
        <v>-388.33</v>
      </c>
      <c r="H169" s="4">
        <f>IFERROR(DATEVALUE(GL_Data[[#This Row],[Date]]),GL_Data[[#This Row],[Date]])</f>
        <v>45994</v>
      </c>
      <c r="I169" s="5">
        <f>DATE(YEAR(GL_Data[[#This Row],[Date_Real]]),MONTH(GL_Data[[#This Row],[Date_Real]]),1)</f>
        <v>45992</v>
      </c>
    </row>
    <row r="170" spans="1:9" x14ac:dyDescent="0.3">
      <c r="A170" s="6" t="s">
        <v>57</v>
      </c>
      <c r="B170" t="s">
        <v>64</v>
      </c>
      <c r="C170" t="s">
        <v>65</v>
      </c>
      <c r="D170" t="s">
        <v>76</v>
      </c>
      <c r="E170" t="s">
        <v>80</v>
      </c>
      <c r="F170" t="s">
        <v>100</v>
      </c>
      <c r="G170" s="1">
        <v>-541.48</v>
      </c>
      <c r="H170" s="4">
        <f>IFERROR(DATEVALUE(GL_Data[[#This Row],[Date]]),GL_Data[[#This Row],[Date]])</f>
        <v>46005</v>
      </c>
      <c r="I170" s="5">
        <f>DATE(YEAR(GL_Data[[#This Row],[Date_Real]]),MONTH(GL_Data[[#This Row],[Date_Real]]),1)</f>
        <v>45992</v>
      </c>
    </row>
    <row r="171" spans="1:9" x14ac:dyDescent="0.3">
      <c r="A171" s="6" t="s">
        <v>42</v>
      </c>
      <c r="B171" t="s">
        <v>64</v>
      </c>
      <c r="C171" t="s">
        <v>70</v>
      </c>
      <c r="D171" t="s">
        <v>79</v>
      </c>
      <c r="E171" t="s">
        <v>94</v>
      </c>
      <c r="F171" t="s">
        <v>110</v>
      </c>
      <c r="G171" s="1">
        <v>-944.79</v>
      </c>
      <c r="H171" s="4">
        <f>IFERROR(DATEVALUE(GL_Data[[#This Row],[Date]]),GL_Data[[#This Row],[Date]])</f>
        <v>45993</v>
      </c>
      <c r="I171" s="5">
        <f>DATE(YEAR(GL_Data[[#This Row],[Date_Real]]),MONTH(GL_Data[[#This Row],[Date_Real]]),1)</f>
        <v>45992</v>
      </c>
    </row>
    <row r="172" spans="1:9" x14ac:dyDescent="0.3">
      <c r="A172" s="6" t="s">
        <v>54</v>
      </c>
      <c r="B172" t="s">
        <v>64</v>
      </c>
      <c r="C172" t="s">
        <v>67</v>
      </c>
      <c r="D172" t="s">
        <v>78</v>
      </c>
      <c r="E172" t="s">
        <v>82</v>
      </c>
      <c r="F172" t="s">
        <v>113</v>
      </c>
      <c r="G172" s="1">
        <v>2063.9699999999998</v>
      </c>
      <c r="H172" s="4">
        <f>IFERROR(DATEVALUE(GL_Data[[#This Row],[Date]]),GL_Data[[#This Row],[Date]])</f>
        <v>45992</v>
      </c>
      <c r="I172" s="5">
        <f>DATE(YEAR(GL_Data[[#This Row],[Date_Real]]),MONTH(GL_Data[[#This Row],[Date_Real]]),1)</f>
        <v>45992</v>
      </c>
    </row>
    <row r="173" spans="1:9" x14ac:dyDescent="0.3">
      <c r="A173" s="6" t="s">
        <v>59</v>
      </c>
      <c r="B173" t="s">
        <v>64</v>
      </c>
      <c r="C173" t="s">
        <v>66</v>
      </c>
      <c r="D173" t="s">
        <v>77</v>
      </c>
      <c r="E173" t="s">
        <v>81</v>
      </c>
      <c r="F173" t="s">
        <v>101</v>
      </c>
      <c r="G173" s="1">
        <v>-142.34</v>
      </c>
      <c r="H173" s="4">
        <f>IFERROR(DATEVALUE(GL_Data[[#This Row],[Date]]),GL_Data[[#This Row],[Date]])</f>
        <v>46019</v>
      </c>
      <c r="I173" s="5">
        <f>DATE(YEAR(GL_Data[[#This Row],[Date_Real]]),MONTH(GL_Data[[#This Row],[Date_Real]]),1)</f>
        <v>45992</v>
      </c>
    </row>
    <row r="174" spans="1:9" x14ac:dyDescent="0.3">
      <c r="A174" s="6" t="s">
        <v>60</v>
      </c>
      <c r="B174" t="s">
        <v>64</v>
      </c>
      <c r="C174" t="s">
        <v>67</v>
      </c>
      <c r="D174" t="s">
        <v>78</v>
      </c>
      <c r="E174" t="s">
        <v>82</v>
      </c>
      <c r="F174" t="s">
        <v>115</v>
      </c>
      <c r="G174" s="1">
        <v>2145.1799999999998</v>
      </c>
      <c r="H174" s="4">
        <f>IFERROR(DATEVALUE(GL_Data[[#This Row],[Date]]),GL_Data[[#This Row],[Date]])</f>
        <v>45996</v>
      </c>
      <c r="I174" s="5">
        <f>DATE(YEAR(GL_Data[[#This Row],[Date_Real]]),MONTH(GL_Data[[#This Row],[Date_Real]]),1)</f>
        <v>45992</v>
      </c>
    </row>
    <row r="175" spans="1:9" x14ac:dyDescent="0.3">
      <c r="A175" s="6" t="s">
        <v>52</v>
      </c>
      <c r="B175" t="s">
        <v>64</v>
      </c>
      <c r="C175" t="s">
        <v>71</v>
      </c>
      <c r="D175" t="s">
        <v>77</v>
      </c>
      <c r="E175" t="s">
        <v>87</v>
      </c>
      <c r="F175" t="s">
        <v>112</v>
      </c>
      <c r="G175" s="1">
        <v>-47.06</v>
      </c>
      <c r="H175" s="4">
        <f>IFERROR(DATEVALUE(GL_Data[[#This Row],[Date]]),GL_Data[[#This Row],[Date]])</f>
        <v>46022</v>
      </c>
      <c r="I175" s="5">
        <f>DATE(YEAR(GL_Data[[#This Row],[Date_Real]]),MONTH(GL_Data[[#This Row],[Date_Real]]),1)</f>
        <v>45992</v>
      </c>
    </row>
    <row r="176" spans="1:9" x14ac:dyDescent="0.3">
      <c r="A176" s="6" t="s">
        <v>41</v>
      </c>
      <c r="B176" t="s">
        <v>64</v>
      </c>
      <c r="C176" t="s">
        <v>68</v>
      </c>
      <c r="D176" t="s">
        <v>77</v>
      </c>
      <c r="E176" t="s">
        <v>97</v>
      </c>
      <c r="F176" t="s">
        <v>117</v>
      </c>
      <c r="G176" s="1">
        <v>-36.82</v>
      </c>
      <c r="H176" s="4">
        <f>IFERROR(DATEVALUE(GL_Data[[#This Row],[Date]]),GL_Data[[#This Row],[Date]])</f>
        <v>45994</v>
      </c>
      <c r="I176" s="5">
        <f>DATE(YEAR(GL_Data[[#This Row],[Date_Real]]),MONTH(GL_Data[[#This Row],[Date_Real]]),1)</f>
        <v>45992</v>
      </c>
    </row>
    <row r="177" spans="1:9" x14ac:dyDescent="0.3">
      <c r="A177" s="6" t="s">
        <v>50</v>
      </c>
      <c r="B177" t="s">
        <v>64</v>
      </c>
      <c r="C177" t="s">
        <v>75</v>
      </c>
      <c r="D177" t="s">
        <v>77</v>
      </c>
      <c r="E177" t="s">
        <v>87</v>
      </c>
      <c r="F177" t="s">
        <v>114</v>
      </c>
      <c r="G177" s="1">
        <v>-81.010000000000005</v>
      </c>
      <c r="H177" s="4">
        <f>IFERROR(DATEVALUE(GL_Data[[#This Row],[Date]]),GL_Data[[#This Row],[Date]])</f>
        <v>46010</v>
      </c>
      <c r="I177" s="5">
        <f>DATE(YEAR(GL_Data[[#This Row],[Date_Real]]),MONTH(GL_Data[[#This Row],[Date_Real]]),1)</f>
        <v>45992</v>
      </c>
    </row>
    <row r="178" spans="1:9" x14ac:dyDescent="0.3">
      <c r="A178" s="6" t="s">
        <v>52</v>
      </c>
      <c r="B178" t="s">
        <v>64</v>
      </c>
      <c r="C178" t="s">
        <v>67</v>
      </c>
      <c r="D178" t="s">
        <v>78</v>
      </c>
      <c r="E178" t="s">
        <v>82</v>
      </c>
      <c r="F178" t="s">
        <v>120</v>
      </c>
      <c r="G178" s="1">
        <v>741</v>
      </c>
      <c r="H178" s="4">
        <f>IFERROR(DATEVALUE(GL_Data[[#This Row],[Date]]),GL_Data[[#This Row],[Date]])</f>
        <v>46022</v>
      </c>
      <c r="I178" s="5">
        <f>DATE(YEAR(GL_Data[[#This Row],[Date_Real]]),MONTH(GL_Data[[#This Row],[Date_Real]]),1)</f>
        <v>45992</v>
      </c>
    </row>
    <row r="179" spans="1:9" x14ac:dyDescent="0.3">
      <c r="A179" s="6" t="s">
        <v>61</v>
      </c>
      <c r="B179" t="s">
        <v>64</v>
      </c>
      <c r="C179" t="s">
        <v>72</v>
      </c>
      <c r="D179" t="s">
        <v>77</v>
      </c>
      <c r="E179" t="s">
        <v>87</v>
      </c>
      <c r="F179" t="s">
        <v>114</v>
      </c>
      <c r="G179" s="1">
        <v>-70.83</v>
      </c>
      <c r="H179" s="4">
        <f>IFERROR(DATEVALUE(GL_Data[[#This Row],[Date]]),GL_Data[[#This Row],[Date]])</f>
        <v>46014</v>
      </c>
      <c r="I179" s="5">
        <f>DATE(YEAR(GL_Data[[#This Row],[Date_Real]]),MONTH(GL_Data[[#This Row],[Date_Real]]),1)</f>
        <v>45992</v>
      </c>
    </row>
    <row r="180" spans="1:9" x14ac:dyDescent="0.3">
      <c r="A180" s="6" t="s">
        <v>62</v>
      </c>
      <c r="B180" t="s">
        <v>64</v>
      </c>
      <c r="C180" t="s">
        <v>65</v>
      </c>
      <c r="D180" t="s">
        <v>76</v>
      </c>
      <c r="E180" t="s">
        <v>80</v>
      </c>
      <c r="F180" t="s">
        <v>132</v>
      </c>
      <c r="G180" s="1">
        <v>-157.15</v>
      </c>
      <c r="H180" s="4">
        <f>IFERROR(DATEVALUE(GL_Data[[#This Row],[Date]]),GL_Data[[#This Row],[Date]])</f>
        <v>46008</v>
      </c>
      <c r="I180" s="5">
        <f>DATE(YEAR(GL_Data[[#This Row],[Date_Real]]),MONTH(GL_Data[[#This Row],[Date_Real]]),1)</f>
        <v>45992</v>
      </c>
    </row>
    <row r="181" spans="1:9" x14ac:dyDescent="0.3">
      <c r="A181" s="6" t="s">
        <v>51</v>
      </c>
      <c r="B181" t="s">
        <v>64</v>
      </c>
      <c r="C181" t="s">
        <v>68</v>
      </c>
      <c r="D181" t="s">
        <v>77</v>
      </c>
      <c r="E181" t="s">
        <v>88</v>
      </c>
      <c r="F181" t="s">
        <v>111</v>
      </c>
      <c r="G181" s="1">
        <v>-27.94</v>
      </c>
      <c r="H181" s="4">
        <f>IFERROR(DATEVALUE(GL_Data[[#This Row],[Date]]),GL_Data[[#This Row],[Date]])</f>
        <v>46017</v>
      </c>
      <c r="I181" s="5">
        <f>DATE(YEAR(GL_Data[[#This Row],[Date_Real]]),MONTH(GL_Data[[#This Row],[Date_Real]]),1)</f>
        <v>45992</v>
      </c>
    </row>
    <row r="182" spans="1:9" x14ac:dyDescent="0.3">
      <c r="A182" s="6" t="s">
        <v>44</v>
      </c>
      <c r="B182" t="s">
        <v>64</v>
      </c>
      <c r="C182" t="s">
        <v>65</v>
      </c>
      <c r="D182" t="s">
        <v>76</v>
      </c>
      <c r="E182" t="s">
        <v>99</v>
      </c>
      <c r="F182" t="s">
        <v>124</v>
      </c>
      <c r="G182" s="1">
        <v>-422.08</v>
      </c>
      <c r="H182" s="4">
        <f>IFERROR(DATEVALUE(GL_Data[[#This Row],[Date]]),GL_Data[[#This Row],[Date]])</f>
        <v>46000</v>
      </c>
      <c r="I182" s="5">
        <f>DATE(YEAR(GL_Data[[#This Row],[Date_Real]]),MONTH(GL_Data[[#This Row],[Date_Real]]),1)</f>
        <v>45992</v>
      </c>
    </row>
    <row r="183" spans="1:9" x14ac:dyDescent="0.3">
      <c r="A183" s="6" t="s">
        <v>62</v>
      </c>
      <c r="B183" t="s">
        <v>64</v>
      </c>
      <c r="C183" t="s">
        <v>67</v>
      </c>
      <c r="D183" t="s">
        <v>78</v>
      </c>
      <c r="E183" t="s">
        <v>82</v>
      </c>
      <c r="F183" t="s">
        <v>120</v>
      </c>
      <c r="G183" s="1">
        <v>731.76</v>
      </c>
      <c r="H183" s="4">
        <f>IFERROR(DATEVALUE(GL_Data[[#This Row],[Date]]),GL_Data[[#This Row],[Date]])</f>
        <v>46008</v>
      </c>
      <c r="I183" s="5">
        <f>DATE(YEAR(GL_Data[[#This Row],[Date_Real]]),MONTH(GL_Data[[#This Row],[Date_Real]]),1)</f>
        <v>45992</v>
      </c>
    </row>
    <row r="184" spans="1:9" x14ac:dyDescent="0.3">
      <c r="A184" s="6" t="s">
        <v>61</v>
      </c>
      <c r="B184" t="s">
        <v>64</v>
      </c>
      <c r="C184" t="s">
        <v>69</v>
      </c>
      <c r="D184" t="s">
        <v>77</v>
      </c>
      <c r="E184" t="s">
        <v>90</v>
      </c>
      <c r="F184" t="s">
        <v>126</v>
      </c>
      <c r="G184" s="1">
        <v>-296.76</v>
      </c>
      <c r="H184" s="4">
        <f>IFERROR(DATEVALUE(GL_Data[[#This Row],[Date]]),GL_Data[[#This Row],[Date]])</f>
        <v>46014</v>
      </c>
      <c r="I184" s="5">
        <f>DATE(YEAR(GL_Data[[#This Row],[Date_Real]]),MONTH(GL_Data[[#This Row],[Date_Real]]),1)</f>
        <v>45992</v>
      </c>
    </row>
    <row r="185" spans="1:9" x14ac:dyDescent="0.3">
      <c r="A185" s="6" t="s">
        <v>53</v>
      </c>
      <c r="B185" t="s">
        <v>64</v>
      </c>
      <c r="C185" t="s">
        <v>69</v>
      </c>
      <c r="D185" t="s">
        <v>77</v>
      </c>
      <c r="E185" t="s">
        <v>92</v>
      </c>
      <c r="F185" t="s">
        <v>131</v>
      </c>
      <c r="G185" s="1">
        <v>-651.26</v>
      </c>
      <c r="H185" s="4">
        <f>IFERROR(DATEVALUE(GL_Data[[#This Row],[Date]]),GL_Data[[#This Row],[Date]])</f>
        <v>46020</v>
      </c>
      <c r="I185" s="5">
        <f>DATE(YEAR(GL_Data[[#This Row],[Date_Real]]),MONTH(GL_Data[[#This Row],[Date_Real]]),1)</f>
        <v>45992</v>
      </c>
    </row>
    <row r="186" spans="1:9" x14ac:dyDescent="0.3">
      <c r="A186" s="6" t="s">
        <v>36</v>
      </c>
      <c r="B186" t="s">
        <v>64</v>
      </c>
      <c r="C186" t="s">
        <v>70</v>
      </c>
      <c r="D186" t="s">
        <v>79</v>
      </c>
      <c r="E186" t="s">
        <v>89</v>
      </c>
      <c r="F186" t="s">
        <v>110</v>
      </c>
      <c r="G186" s="1">
        <v>-519.84</v>
      </c>
      <c r="H186" s="4">
        <f>IFERROR(DATEVALUE(GL_Data[[#This Row],[Date]]),GL_Data[[#This Row],[Date]])</f>
        <v>46013</v>
      </c>
      <c r="I186" s="5">
        <f>DATE(YEAR(GL_Data[[#This Row],[Date_Real]]),MONTH(GL_Data[[#This Row],[Date_Real]]),1)</f>
        <v>45992</v>
      </c>
    </row>
    <row r="187" spans="1:9" x14ac:dyDescent="0.3">
      <c r="A187" s="6" t="s">
        <v>61</v>
      </c>
      <c r="B187" t="s">
        <v>64</v>
      </c>
      <c r="C187" t="s">
        <v>70</v>
      </c>
      <c r="D187" t="s">
        <v>79</v>
      </c>
      <c r="E187" t="s">
        <v>85</v>
      </c>
      <c r="F187" t="s">
        <v>110</v>
      </c>
      <c r="G187" s="1">
        <v>-574.20000000000005</v>
      </c>
      <c r="H187" s="4">
        <f>IFERROR(DATEVALUE(GL_Data[[#This Row],[Date]]),GL_Data[[#This Row],[Date]])</f>
        <v>46014</v>
      </c>
      <c r="I187" s="5">
        <f>DATE(YEAR(GL_Data[[#This Row],[Date_Real]]),MONTH(GL_Data[[#This Row],[Date_Real]]),1)</f>
        <v>45992</v>
      </c>
    </row>
    <row r="188" spans="1:9" x14ac:dyDescent="0.3">
      <c r="A188" s="6" t="s">
        <v>54</v>
      </c>
      <c r="B188" t="s">
        <v>64</v>
      </c>
      <c r="C188" t="s">
        <v>71</v>
      </c>
      <c r="D188" t="s">
        <v>77</v>
      </c>
      <c r="E188" t="s">
        <v>87</v>
      </c>
      <c r="F188" t="s">
        <v>107</v>
      </c>
      <c r="G188" s="1">
        <v>-49.35</v>
      </c>
      <c r="H188" s="4">
        <f>IFERROR(DATEVALUE(GL_Data[[#This Row],[Date]]),GL_Data[[#This Row],[Date]])</f>
        <v>45992</v>
      </c>
      <c r="I188" s="5">
        <f>DATE(YEAR(GL_Data[[#This Row],[Date_Real]]),MONTH(GL_Data[[#This Row],[Date_Real]]),1)</f>
        <v>45992</v>
      </c>
    </row>
    <row r="189" spans="1:9" x14ac:dyDescent="0.3">
      <c r="A189" s="6" t="s">
        <v>41</v>
      </c>
      <c r="B189" t="s">
        <v>64</v>
      </c>
      <c r="C189" t="s">
        <v>67</v>
      </c>
      <c r="D189" t="s">
        <v>78</v>
      </c>
      <c r="E189" t="s">
        <v>82</v>
      </c>
      <c r="F189" t="s">
        <v>118</v>
      </c>
      <c r="G189" s="1">
        <v>2141.2199999999998</v>
      </c>
      <c r="H189" s="4">
        <f>IFERROR(DATEVALUE(GL_Data[[#This Row],[Date]]),GL_Data[[#This Row],[Date]])</f>
        <v>45994</v>
      </c>
      <c r="I189" s="5">
        <f>DATE(YEAR(GL_Data[[#This Row],[Date_Real]]),MONTH(GL_Data[[#This Row],[Date_Real]]),1)</f>
        <v>45992</v>
      </c>
    </row>
    <row r="190" spans="1:9" x14ac:dyDescent="0.3">
      <c r="A190" s="6" t="s">
        <v>48</v>
      </c>
      <c r="B190" t="s">
        <v>64</v>
      </c>
      <c r="C190" t="s">
        <v>71</v>
      </c>
      <c r="D190" t="s">
        <v>77</v>
      </c>
      <c r="E190" t="s">
        <v>87</v>
      </c>
      <c r="F190" t="s">
        <v>121</v>
      </c>
      <c r="G190" s="1">
        <v>-18.850000000000001</v>
      </c>
      <c r="H190" s="4">
        <f>IFERROR(DATEVALUE(GL_Data[[#This Row],[Date]]),GL_Data[[#This Row],[Date]])</f>
        <v>46016</v>
      </c>
      <c r="I190" s="5">
        <f>DATE(YEAR(GL_Data[[#This Row],[Date_Real]]),MONTH(GL_Data[[#This Row],[Date_Real]]),1)</f>
        <v>45992</v>
      </c>
    </row>
    <row r="191" spans="1:9" x14ac:dyDescent="0.3">
      <c r="A191" s="6" t="s">
        <v>44</v>
      </c>
      <c r="B191" t="s">
        <v>64</v>
      </c>
      <c r="C191" t="s">
        <v>72</v>
      </c>
      <c r="D191" t="s">
        <v>77</v>
      </c>
      <c r="E191" t="s">
        <v>87</v>
      </c>
      <c r="F191" t="s">
        <v>107</v>
      </c>
      <c r="G191" s="1">
        <v>-131.43</v>
      </c>
      <c r="H191" s="4">
        <f>IFERROR(DATEVALUE(GL_Data[[#This Row],[Date]]),GL_Data[[#This Row],[Date]])</f>
        <v>46000</v>
      </c>
      <c r="I191" s="5">
        <f>DATE(YEAR(GL_Data[[#This Row],[Date_Real]]),MONTH(GL_Data[[#This Row],[Date_Real]]),1)</f>
        <v>45992</v>
      </c>
    </row>
    <row r="192" spans="1:9" x14ac:dyDescent="0.3">
      <c r="A192" s="6" t="s">
        <v>47</v>
      </c>
      <c r="B192" t="s">
        <v>64</v>
      </c>
      <c r="C192" t="s">
        <v>68</v>
      </c>
      <c r="D192" t="s">
        <v>77</v>
      </c>
      <c r="E192" t="s">
        <v>88</v>
      </c>
      <c r="F192" t="s">
        <v>109</v>
      </c>
      <c r="G192" s="1">
        <v>-298.39999999999998</v>
      </c>
      <c r="H192" s="4">
        <f>IFERROR(DATEVALUE(GL_Data[[#This Row],[Date]]),GL_Data[[#This Row],[Date]])</f>
        <v>46007</v>
      </c>
      <c r="I192" s="5">
        <f>DATE(YEAR(GL_Data[[#This Row],[Date_Real]]),MONTH(GL_Data[[#This Row],[Date_Real]]),1)</f>
        <v>45992</v>
      </c>
    </row>
    <row r="193" spans="1:9" x14ac:dyDescent="0.3">
      <c r="A193" s="6" t="s">
        <v>56</v>
      </c>
      <c r="B193" t="s">
        <v>64</v>
      </c>
      <c r="C193" t="s">
        <v>69</v>
      </c>
      <c r="D193" t="s">
        <v>77</v>
      </c>
      <c r="E193" t="s">
        <v>90</v>
      </c>
      <c r="F193" t="s">
        <v>126</v>
      </c>
      <c r="G193" s="1">
        <v>-1165.2</v>
      </c>
      <c r="H193" s="4">
        <f>IFERROR(DATEVALUE(GL_Data[[#This Row],[Date]]),GL_Data[[#This Row],[Date]])</f>
        <v>46021</v>
      </c>
      <c r="I193" s="5">
        <f>DATE(YEAR(GL_Data[[#This Row],[Date_Real]]),MONTH(GL_Data[[#This Row],[Date_Real]]),1)</f>
        <v>45992</v>
      </c>
    </row>
    <row r="194" spans="1:9" x14ac:dyDescent="0.3">
      <c r="A194" s="6" t="s">
        <v>42</v>
      </c>
      <c r="B194" t="s">
        <v>64</v>
      </c>
      <c r="C194" t="s">
        <v>67</v>
      </c>
      <c r="D194" t="s">
        <v>78</v>
      </c>
      <c r="E194" t="s">
        <v>82</v>
      </c>
      <c r="F194" t="s">
        <v>102</v>
      </c>
      <c r="G194" s="1">
        <v>2149.5300000000002</v>
      </c>
      <c r="H194" s="4">
        <f>IFERROR(DATEVALUE(GL_Data[[#This Row],[Date]]),GL_Data[[#This Row],[Date]])</f>
        <v>45993</v>
      </c>
      <c r="I194" s="5">
        <f>DATE(YEAR(GL_Data[[#This Row],[Date_Real]]),MONTH(GL_Data[[#This Row],[Date_Real]]),1)</f>
        <v>45992</v>
      </c>
    </row>
    <row r="195" spans="1:9" x14ac:dyDescent="0.3">
      <c r="A195" s="6" t="s">
        <v>57</v>
      </c>
      <c r="B195" t="s">
        <v>64</v>
      </c>
      <c r="C195" t="s">
        <v>67</v>
      </c>
      <c r="D195" t="s">
        <v>78</v>
      </c>
      <c r="E195" t="s">
        <v>82</v>
      </c>
      <c r="F195" t="s">
        <v>120</v>
      </c>
      <c r="G195" s="1">
        <v>367.26</v>
      </c>
      <c r="H195" s="4">
        <f>IFERROR(DATEVALUE(GL_Data[[#This Row],[Date]]),GL_Data[[#This Row],[Date]])</f>
        <v>46005</v>
      </c>
      <c r="I195" s="5">
        <f>DATE(YEAR(GL_Data[[#This Row],[Date_Real]]),MONTH(GL_Data[[#This Row],[Date_Real]]),1)</f>
        <v>45992</v>
      </c>
    </row>
    <row r="196" spans="1:9" x14ac:dyDescent="0.3">
      <c r="A196" s="6" t="s">
        <v>43</v>
      </c>
      <c r="B196" t="s">
        <v>64</v>
      </c>
      <c r="C196" t="s">
        <v>73</v>
      </c>
      <c r="D196" t="s">
        <v>77</v>
      </c>
      <c r="E196" t="s">
        <v>87</v>
      </c>
      <c r="F196" t="s">
        <v>125</v>
      </c>
      <c r="G196" s="1">
        <v>-80.69</v>
      </c>
      <c r="H196" s="4">
        <f>IFERROR(DATEVALUE(GL_Data[[#This Row],[Date]]),GL_Data[[#This Row],[Date]])</f>
        <v>46006</v>
      </c>
      <c r="I196" s="5">
        <f>DATE(YEAR(GL_Data[[#This Row],[Date_Real]]),MONTH(GL_Data[[#This Row],[Date_Real]]),1)</f>
        <v>45992</v>
      </c>
    </row>
    <row r="197" spans="1:9" x14ac:dyDescent="0.3">
      <c r="A197" s="6" t="s">
        <v>41</v>
      </c>
      <c r="B197" t="s">
        <v>64</v>
      </c>
      <c r="C197" t="s">
        <v>75</v>
      </c>
      <c r="D197" t="s">
        <v>77</v>
      </c>
      <c r="E197" t="s">
        <v>87</v>
      </c>
      <c r="F197" t="s">
        <v>121</v>
      </c>
      <c r="G197" s="1">
        <v>-46.22</v>
      </c>
      <c r="H197" s="4">
        <f>IFERROR(DATEVALUE(GL_Data[[#This Row],[Date]]),GL_Data[[#This Row],[Date]])</f>
        <v>45994</v>
      </c>
      <c r="I197" s="5">
        <f>DATE(YEAR(GL_Data[[#This Row],[Date_Real]]),MONTH(GL_Data[[#This Row],[Date_Real]]),1)</f>
        <v>45992</v>
      </c>
    </row>
    <row r="198" spans="1:9" x14ac:dyDescent="0.3">
      <c r="A198" s="6" t="s">
        <v>63</v>
      </c>
      <c r="B198" t="s">
        <v>64</v>
      </c>
      <c r="C198" t="s">
        <v>75</v>
      </c>
      <c r="D198" t="s">
        <v>77</v>
      </c>
      <c r="E198" t="s">
        <v>87</v>
      </c>
      <c r="F198" t="s">
        <v>125</v>
      </c>
      <c r="G198" s="1">
        <v>-92.09</v>
      </c>
      <c r="H198" s="4">
        <f>IFERROR(DATEVALUE(GL_Data[[#This Row],[Date]]),GL_Data[[#This Row],[Date]])</f>
        <v>46012</v>
      </c>
      <c r="I198" s="5">
        <f>DATE(YEAR(GL_Data[[#This Row],[Date_Real]]),MONTH(GL_Data[[#This Row],[Date_Real]]),1)</f>
        <v>45992</v>
      </c>
    </row>
    <row r="199" spans="1:9" x14ac:dyDescent="0.3">
      <c r="A199" s="6" t="s">
        <v>38</v>
      </c>
      <c r="B199" t="s">
        <v>64</v>
      </c>
      <c r="C199" t="s">
        <v>69</v>
      </c>
      <c r="D199" t="s">
        <v>77</v>
      </c>
      <c r="E199" t="s">
        <v>90</v>
      </c>
      <c r="F199" t="s">
        <v>131</v>
      </c>
      <c r="G199" s="1">
        <v>-611.02</v>
      </c>
      <c r="H199" s="4">
        <f>IFERROR(DATEVALUE(GL_Data[[#This Row],[Date]]),GL_Data[[#This Row],[Date]])</f>
        <v>46001</v>
      </c>
      <c r="I199" s="5">
        <f>DATE(YEAR(GL_Data[[#This Row],[Date_Real]]),MONTH(GL_Data[[#This Row],[Date_Real]]),1)</f>
        <v>45992</v>
      </c>
    </row>
    <row r="200" spans="1:9" x14ac:dyDescent="0.3">
      <c r="A200" s="6" t="s">
        <v>43</v>
      </c>
      <c r="B200" t="s">
        <v>64</v>
      </c>
      <c r="C200" t="s">
        <v>67</v>
      </c>
      <c r="D200" t="s">
        <v>78</v>
      </c>
      <c r="E200" t="s">
        <v>82</v>
      </c>
      <c r="F200" t="s">
        <v>118</v>
      </c>
      <c r="G200" s="1">
        <v>255.6</v>
      </c>
      <c r="H200" s="4">
        <f>IFERROR(DATEVALUE(GL_Data[[#This Row],[Date]]),GL_Data[[#This Row],[Date]])</f>
        <v>46006</v>
      </c>
      <c r="I200" s="5">
        <f>DATE(YEAR(GL_Data[[#This Row],[Date_Real]]),MONTH(GL_Data[[#This Row],[Date_Real]]),1)</f>
        <v>45992</v>
      </c>
    </row>
    <row r="201" spans="1:9" x14ac:dyDescent="0.3">
      <c r="A201" s="6" t="s">
        <v>41</v>
      </c>
      <c r="B201" t="s">
        <v>64</v>
      </c>
      <c r="C201" t="s">
        <v>70</v>
      </c>
      <c r="D201" t="s">
        <v>79</v>
      </c>
      <c r="E201" t="s">
        <v>85</v>
      </c>
      <c r="F201" t="s">
        <v>105</v>
      </c>
      <c r="G201" s="1">
        <v>-1151.96</v>
      </c>
      <c r="H201" s="4">
        <f>IFERROR(DATEVALUE(GL_Data[[#This Row],[Date]]),GL_Data[[#This Row],[Date]])</f>
        <v>45994</v>
      </c>
      <c r="I201" s="5">
        <f>DATE(YEAR(GL_Data[[#This Row],[Date_Real]]),MONTH(GL_Data[[#This Row],[Date_Real]]),1)</f>
        <v>45992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E122-B450-4A97-8223-C56459E13AA6}">
  <dimension ref="A1:E200"/>
  <sheetViews>
    <sheetView workbookViewId="0">
      <pane ySplit="3" topLeftCell="A4" activePane="bottomLeft" state="frozen"/>
      <selection pane="bottomLeft" activeCell="E17" sqref="E17"/>
    </sheetView>
  </sheetViews>
  <sheetFormatPr defaultRowHeight="14.4" x14ac:dyDescent="0.3"/>
  <cols>
    <col min="1" max="1" width="14.109375" bestFit="1" customWidth="1"/>
    <col min="2" max="2" width="23.77734375" bestFit="1" customWidth="1"/>
    <col min="3" max="3" width="13.88671875" bestFit="1" customWidth="1"/>
    <col min="4" max="4" width="13.5546875" bestFit="1" customWidth="1"/>
    <col min="5" max="5" width="20.44140625" bestFit="1" customWidth="1"/>
  </cols>
  <sheetData>
    <row r="1" spans="1:5" ht="21" x14ac:dyDescent="0.4">
      <c r="A1" s="11" t="s">
        <v>135</v>
      </c>
      <c r="B1" s="11"/>
      <c r="C1" s="11"/>
      <c r="D1" s="11"/>
      <c r="E1" s="11"/>
    </row>
    <row r="2" spans="1:5" x14ac:dyDescent="0.3">
      <c r="A2" s="12" t="s">
        <v>136</v>
      </c>
      <c r="B2" s="12"/>
      <c r="C2" s="12"/>
      <c r="D2" s="12"/>
      <c r="E2" s="12"/>
    </row>
    <row r="3" spans="1:5" x14ac:dyDescent="0.3">
      <c r="A3" s="10" t="s">
        <v>3</v>
      </c>
      <c r="B3" s="10" t="s">
        <v>2</v>
      </c>
      <c r="C3" s="10" t="s">
        <v>137</v>
      </c>
      <c r="D3" s="10" t="s">
        <v>138</v>
      </c>
      <c r="E3" s="10" t="s">
        <v>139</v>
      </c>
    </row>
    <row r="4" spans="1:5" x14ac:dyDescent="0.3">
      <c r="A4" s="7" t="str" cm="1">
        <f t="array" ref="A4:B14">_xlfn._xlws.SORT(_xlfn.UNIQUE(CHOOSE({1,2},GL_Data[GL_Category],GL_Data[Account])))</f>
        <v>COGS</v>
      </c>
      <c r="B4" s="7" t="str">
        <v>COGS - Inventory Purchases</v>
      </c>
      <c r="C4" s="8">
        <f>IF($A4="","",SUMIFS(GL_Data[Amount_USD],GL_Data[GL_Category],$A4,GL_Data[Account],$B4,GL_Data[MonthStart],DATE(2025,11,1)))</f>
        <v>-13669.749999999998</v>
      </c>
      <c r="D4" s="8">
        <f>IF($A4="","",SUMIFS(GL_Data[Amount_USD],GL_Data[GL_Category],$A4,GL_Data[Account],$B4,GL_Data[MonthStart],DATE(2025,12,1)))</f>
        <v>-13057.21</v>
      </c>
      <c r="E4" s="9">
        <f t="shared" ref="E4:E14" si="0">IF(C4=0,"",IF(C4&lt;0, -(D4-C4)/ABS(C4), (D4-C4)/ABS(C4)))</f>
        <v>-4.4809890451544404E-2</v>
      </c>
    </row>
    <row r="5" spans="1:5" x14ac:dyDescent="0.3">
      <c r="A5" s="7" t="str">
        <v>Contra Revenue</v>
      </c>
      <c r="B5" s="7" t="str">
        <v>Returns &amp; Refunds</v>
      </c>
      <c r="C5" s="8">
        <f>IF($A5="","",SUMIFS(GL_Data[Amount_USD],GL_Data[GL_Category],$A5,GL_Data[Account],$B5,GL_Data[MonthStart],DATE(2025,11,1)))</f>
        <v>-801.78</v>
      </c>
      <c r="D5" s="8">
        <f>IF($A5="","",SUMIFS(GL_Data[Amount_USD],GL_Data[GL_Category],$A5,GL_Data[Account],$B5,GL_Data[MonthStart],DATE(2025,12,1)))</f>
        <v>-3472.04</v>
      </c>
      <c r="E5" s="9">
        <f t="shared" si="0"/>
        <v>3.3304148270099034</v>
      </c>
    </row>
    <row r="6" spans="1:5" x14ac:dyDescent="0.3">
      <c r="A6" s="7" t="str">
        <v>OPEX</v>
      </c>
      <c r="B6" s="7" t="str">
        <v>Packaging &amp; Supplies</v>
      </c>
      <c r="C6" s="8">
        <f>IF($A6="","",SUMIFS(GL_Data[Amount_USD],GL_Data[GL_Category],$A6,GL_Data[Account],$B6,GL_Data[MonthStart],DATE(2025,11,1)))</f>
        <v>-965.1</v>
      </c>
      <c r="D6" s="8">
        <f>IF($A6="","",SUMIFS(GL_Data[Amount_USD],GL_Data[GL_Category],$A6,GL_Data[Account],$B6,GL_Data[MonthStart],DATE(2025,12,1)))</f>
        <v>-1079.78</v>
      </c>
      <c r="E6" s="9">
        <f t="shared" si="0"/>
        <v>0.11882706455289602</v>
      </c>
    </row>
    <row r="7" spans="1:5" x14ac:dyDescent="0.3">
      <c r="A7" s="7" t="str">
        <v>OPEX</v>
      </c>
      <c r="B7" s="7" t="str">
        <v>Shipping &amp; Delivery Fees</v>
      </c>
      <c r="C7" s="8">
        <f>IF($A7="","",SUMIFS(GL_Data[Amount_USD],GL_Data[GL_Category],$A7,GL_Data[Account],$B7,GL_Data[MonthStart],DATE(2025,11,1)))</f>
        <v>-917.34999999999991</v>
      </c>
      <c r="D7" s="8">
        <f>IF($A7="","",SUMIFS(GL_Data[Amount_USD],GL_Data[GL_Category],$A7,GL_Data[Account],$B7,GL_Data[MonthStart],DATE(2025,12,1)))</f>
        <v>-1455.3799999999997</v>
      </c>
      <c r="E7" s="9">
        <f t="shared" si="0"/>
        <v>0.58650460565760043</v>
      </c>
    </row>
    <row r="8" spans="1:5" x14ac:dyDescent="0.3">
      <c r="A8" s="7" t="str">
        <v>OPEX</v>
      </c>
      <c r="B8" s="7" t="str">
        <v>Payroll &amp; Benefits</v>
      </c>
      <c r="C8" s="8">
        <f>IF($A8="","",SUMIFS(GL_Data[Amount_USD],GL_Data[GL_Category],$A8,GL_Data[Account],$B8,GL_Data[MonthStart],DATE(2025,11,1)))</f>
        <v>-5236.329999999999</v>
      </c>
      <c r="D8" s="8">
        <f>IF($A8="","",SUMIFS(GL_Data[Amount_USD],GL_Data[GL_Category],$A8,GL_Data[Account],$B8,GL_Data[MonthStart],DATE(2025,12,1)))</f>
        <v>-5191.9699999999993</v>
      </c>
      <c r="E8" s="9">
        <f t="shared" si="0"/>
        <v>-8.4715821959272398E-3</v>
      </c>
    </row>
    <row r="9" spans="1:5" x14ac:dyDescent="0.3">
      <c r="A9" s="7" t="str">
        <v>OPEX</v>
      </c>
      <c r="B9" s="7" t="str">
        <v>Payment Processing Fees</v>
      </c>
      <c r="C9" s="8">
        <f>IF($A9="","",SUMIFS(GL_Data[Amount_USD],GL_Data[GL_Category],$A9,GL_Data[Account],$B9,GL_Data[MonthStart],DATE(2025,11,1)))</f>
        <v>-267.01</v>
      </c>
      <c r="D9" s="8">
        <f>IF($A9="","",SUMIFS(GL_Data[Amount_USD],GL_Data[GL_Category],$A9,GL_Data[Account],$B9,GL_Data[MonthStart],DATE(2025,12,1)))</f>
        <v>-219.08999999999997</v>
      </c>
      <c r="E9" s="9">
        <f t="shared" si="0"/>
        <v>-0.17946893374779976</v>
      </c>
    </row>
    <row r="10" spans="1:5" x14ac:dyDescent="0.3">
      <c r="A10" s="7" t="str">
        <v>OPEX</v>
      </c>
      <c r="B10" s="7" t="str">
        <v>Marketing</v>
      </c>
      <c r="C10" s="8">
        <f>IF($A10="","",SUMIFS(GL_Data[Amount_USD],GL_Data[GL_Category],$A10,GL_Data[Account],$B10,GL_Data[MonthStart],DATE(2025,11,1)))</f>
        <v>-538.79999999999995</v>
      </c>
      <c r="D10" s="8">
        <f>IF($A10="","",SUMIFS(GL_Data[Amount_USD],GL_Data[GL_Category],$A10,GL_Data[Account],$B10,GL_Data[MonthStart],DATE(2025,12,1)))</f>
        <v>-432.29</v>
      </c>
      <c r="E10" s="9">
        <f t="shared" si="0"/>
        <v>-0.19768002969561979</v>
      </c>
    </row>
    <row r="11" spans="1:5" x14ac:dyDescent="0.3">
      <c r="A11" s="7" t="str">
        <v>OPEX</v>
      </c>
      <c r="B11" s="7" t="str">
        <v>Utilities</v>
      </c>
      <c r="C11" s="8">
        <f>IF($A11="","",SUMIFS(GL_Data[Amount_USD],GL_Data[GL_Category],$A11,GL_Data[Account],$B11,GL_Data[MonthStart],DATE(2025,11,1)))</f>
        <v>-109.92000000000002</v>
      </c>
      <c r="D11" s="8">
        <f>IF($A11="","",SUMIFS(GL_Data[Amount_USD],GL_Data[GL_Category],$A11,GL_Data[Account],$B11,GL_Data[MonthStart],DATE(2025,12,1)))</f>
        <v>-303.35000000000002</v>
      </c>
      <c r="E11" s="9">
        <f t="shared" si="0"/>
        <v>1.7597343522561861</v>
      </c>
    </row>
    <row r="12" spans="1:5" x14ac:dyDescent="0.3">
      <c r="A12" s="7" t="str">
        <v>OPEX</v>
      </c>
      <c r="B12" s="7" t="str">
        <v>Rent</v>
      </c>
      <c r="C12" s="8">
        <f>IF($A12="","",SUMIFS(GL_Data[Amount_USD],GL_Data[GL_Category],$A12,GL_Data[Account],$B12,GL_Data[MonthStart],DATE(2025,11,1)))</f>
        <v>-779.20999999999992</v>
      </c>
      <c r="D12" s="8">
        <f>IF($A12="","",SUMIFS(GL_Data[Amount_USD],GL_Data[GL_Category],$A12,GL_Data[Account],$B12,GL_Data[MonthStart],DATE(2025,12,1)))</f>
        <v>-1310.7299999999998</v>
      </c>
      <c r="E12" s="9">
        <f t="shared" si="0"/>
        <v>0.68212676942031025</v>
      </c>
    </row>
    <row r="13" spans="1:5" x14ac:dyDescent="0.3">
      <c r="A13" s="7" t="str">
        <v>OPEX</v>
      </c>
      <c r="B13" s="7" t="str">
        <v>Software &amp; Subscriptions</v>
      </c>
      <c r="C13" s="8">
        <f>IF($A13="","",SUMIFS(GL_Data[Amount_USD],GL_Data[GL_Category],$A13,GL_Data[Account],$B13,GL_Data[MonthStart],DATE(2025,11,1)))</f>
        <v>-120.55000000000001</v>
      </c>
      <c r="D13" s="8">
        <f>IF($A13="","",SUMIFS(GL_Data[Amount_USD],GL_Data[GL_Category],$A13,GL_Data[Account],$B13,GL_Data[MonthStart],DATE(2025,12,1)))</f>
        <v>-289.83000000000004</v>
      </c>
      <c r="E13" s="9">
        <f t="shared" si="0"/>
        <v>1.4042306097055164</v>
      </c>
    </row>
    <row r="14" spans="1:5" x14ac:dyDescent="0.3">
      <c r="A14" s="7" t="str">
        <v>Revenue</v>
      </c>
      <c r="B14" s="7" t="str">
        <v>Sales Revenue</v>
      </c>
      <c r="C14" s="8">
        <f>IF($A14="","",SUMIFS(GL_Data[Amount_USD],GL_Data[GL_Category],$A14,GL_Data[Account],$B14,GL_Data[MonthStart],DATE(2025,11,1)))</f>
        <v>32092.800000000003</v>
      </c>
      <c r="D14" s="8">
        <f>IF($A14="","",SUMIFS(GL_Data[Amount_USD],GL_Data[GL_Category],$A14,GL_Data[Account],$B14,GL_Data[MonthStart],DATE(2025,12,1)))</f>
        <v>33226.200000000004</v>
      </c>
      <c r="E14" s="9">
        <f t="shared" si="0"/>
        <v>3.5316332635357509E-2</v>
      </c>
    </row>
    <row r="15" spans="1:5" x14ac:dyDescent="0.3">
      <c r="A15" s="7"/>
      <c r="B15" s="7"/>
      <c r="C15" s="8" t="str">
        <f>IF($A15="","",SUMIFS(GL_Data[Amount_USD],GL_Data[GL_Category],$A15,GL_Data[Account],$B15,GL_Data[MonthStart],DATE(2025,11,1)))</f>
        <v/>
      </c>
      <c r="D15" s="8" t="str">
        <f>IF($A15="","",SUMIFS(GL_Data[Amount_USD],GL_Data[GL_Category],$A15,GL_Data[Account],$B15,GL_Data[MonthStart],DATE(2025,12,1)))</f>
        <v/>
      </c>
      <c r="E15" s="9" t="str">
        <f t="shared" ref="E15:E68" si="1">IF($A15="","",IF($C15=0,"",($D15-$C15)/ABS($C15)))</f>
        <v/>
      </c>
    </row>
    <row r="16" spans="1:5" x14ac:dyDescent="0.3">
      <c r="A16" s="7"/>
      <c r="B16" s="7"/>
      <c r="C16" s="8" t="str">
        <f>IF($A16="","",SUMIFS(GL_Data[Amount_USD],GL_Data[GL_Category],$A16,GL_Data[Account],$B16,GL_Data[MonthStart],DATE(2025,11,1)))</f>
        <v/>
      </c>
      <c r="D16" s="8" t="str">
        <f>IF($A16="","",SUMIFS(GL_Data[Amount_USD],GL_Data[GL_Category],$A16,GL_Data[Account],$B16,GL_Data[MonthStart],DATE(2025,12,1)))</f>
        <v/>
      </c>
      <c r="E16" s="9" t="str">
        <f t="shared" si="1"/>
        <v/>
      </c>
    </row>
    <row r="17" spans="1:5" x14ac:dyDescent="0.3">
      <c r="A17" s="7"/>
      <c r="B17" s="7"/>
      <c r="C17" s="8" t="str">
        <f>IF($A17="","",SUMIFS(GL_Data[Amount_USD],GL_Data[GL_Category],$A17,GL_Data[Account],$B17,GL_Data[MonthStart],DATE(2025,11,1)))</f>
        <v/>
      </c>
      <c r="D17" s="8" t="str">
        <f>IF($A17="","",SUMIFS(GL_Data[Amount_USD],GL_Data[GL_Category],$A17,GL_Data[Account],$B17,GL_Data[MonthStart],DATE(2025,12,1)))</f>
        <v/>
      </c>
      <c r="E17" s="9" t="str">
        <f t="shared" si="1"/>
        <v/>
      </c>
    </row>
    <row r="18" spans="1:5" x14ac:dyDescent="0.3">
      <c r="A18" s="7"/>
      <c r="B18" s="7"/>
      <c r="C18" s="8" t="str">
        <f>IF($A18="","",SUMIFS(GL_Data[Amount_USD],GL_Data[GL_Category],$A18,GL_Data[Account],$B18,GL_Data[MonthStart],DATE(2025,11,1)))</f>
        <v/>
      </c>
      <c r="D18" s="8" t="str">
        <f>IF($A18="","",SUMIFS(GL_Data[Amount_USD],GL_Data[GL_Category],$A18,GL_Data[Account],$B18,GL_Data[MonthStart],DATE(2025,12,1)))</f>
        <v/>
      </c>
      <c r="E18" s="9" t="str">
        <f t="shared" si="1"/>
        <v/>
      </c>
    </row>
    <row r="19" spans="1:5" x14ac:dyDescent="0.3">
      <c r="A19" s="7"/>
      <c r="B19" s="7"/>
      <c r="C19" s="8" t="str">
        <f>IF($A19="","",SUMIFS(GL_Data[Amount_USD],GL_Data[GL_Category],$A19,GL_Data[Account],$B19,GL_Data[MonthStart],DATE(2025,11,1)))</f>
        <v/>
      </c>
      <c r="D19" s="8" t="str">
        <f>IF($A19="","",SUMIFS(GL_Data[Amount_USD],GL_Data[GL_Category],$A19,GL_Data[Account],$B19,GL_Data[MonthStart],DATE(2025,12,1)))</f>
        <v/>
      </c>
      <c r="E19" s="9" t="str">
        <f t="shared" si="1"/>
        <v/>
      </c>
    </row>
    <row r="20" spans="1:5" x14ac:dyDescent="0.3">
      <c r="A20" s="7"/>
      <c r="B20" s="7"/>
      <c r="C20" s="8" t="str">
        <f>IF($A20="","",SUMIFS(GL_Data[Amount_USD],GL_Data[GL_Category],$A20,GL_Data[Account],$B20,GL_Data[MonthStart],DATE(2025,11,1)))</f>
        <v/>
      </c>
      <c r="D20" s="8" t="str">
        <f>IF($A20="","",SUMIFS(GL_Data[Amount_USD],GL_Data[GL_Category],$A20,GL_Data[Account],$B20,GL_Data[MonthStart],DATE(2025,12,1)))</f>
        <v/>
      </c>
      <c r="E20" s="9" t="str">
        <f t="shared" si="1"/>
        <v/>
      </c>
    </row>
    <row r="21" spans="1:5" x14ac:dyDescent="0.3">
      <c r="A21" s="7"/>
      <c r="B21" s="7"/>
      <c r="C21" s="8" t="str">
        <f>IF($A21="","",SUMIFS(GL_Data[Amount_USD],GL_Data[GL_Category],$A21,GL_Data[Account],$B21,GL_Data[MonthStart],DATE(2025,11,1)))</f>
        <v/>
      </c>
      <c r="D21" s="8" t="str">
        <f>IF($A21="","",SUMIFS(GL_Data[Amount_USD],GL_Data[GL_Category],$A21,GL_Data[Account],$B21,GL_Data[MonthStart],DATE(2025,12,1)))</f>
        <v/>
      </c>
      <c r="E21" s="9" t="str">
        <f t="shared" si="1"/>
        <v/>
      </c>
    </row>
    <row r="22" spans="1:5" x14ac:dyDescent="0.3">
      <c r="A22" s="7"/>
      <c r="B22" s="7"/>
      <c r="C22" s="8" t="str">
        <f>IF($A22="","",SUMIFS(GL_Data[Amount_USD],GL_Data[GL_Category],$A22,GL_Data[Account],$B22,GL_Data[MonthStart],DATE(2025,11,1)))</f>
        <v/>
      </c>
      <c r="D22" s="8" t="str">
        <f>IF($A22="","",SUMIFS(GL_Data[Amount_USD],GL_Data[GL_Category],$A22,GL_Data[Account],$B22,GL_Data[MonthStart],DATE(2025,12,1)))</f>
        <v/>
      </c>
      <c r="E22" s="9" t="str">
        <f t="shared" si="1"/>
        <v/>
      </c>
    </row>
    <row r="23" spans="1:5" x14ac:dyDescent="0.3">
      <c r="A23" s="7"/>
      <c r="B23" s="7"/>
      <c r="C23" s="8" t="str">
        <f>IF($A23="","",SUMIFS(GL_Data[Amount_USD],GL_Data[GL_Category],$A23,GL_Data[Account],$B23,GL_Data[MonthStart],DATE(2025,11,1)))</f>
        <v/>
      </c>
      <c r="D23" s="8" t="str">
        <f>IF($A23="","",SUMIFS(GL_Data[Amount_USD],GL_Data[GL_Category],$A23,GL_Data[Account],$B23,GL_Data[MonthStart],DATE(2025,12,1)))</f>
        <v/>
      </c>
      <c r="E23" s="9" t="str">
        <f t="shared" si="1"/>
        <v/>
      </c>
    </row>
    <row r="24" spans="1:5" x14ac:dyDescent="0.3">
      <c r="A24" s="7"/>
      <c r="B24" s="7"/>
      <c r="C24" s="8" t="str">
        <f>IF($A24="","",SUMIFS(GL_Data[Amount_USD],GL_Data[GL_Category],$A24,GL_Data[Account],$B24,GL_Data[MonthStart],DATE(2025,11,1)))</f>
        <v/>
      </c>
      <c r="D24" s="8" t="str">
        <f>IF($A24="","",SUMIFS(GL_Data[Amount_USD],GL_Data[GL_Category],$A24,GL_Data[Account],$B24,GL_Data[MonthStart],DATE(2025,12,1)))</f>
        <v/>
      </c>
      <c r="E24" s="9" t="str">
        <f t="shared" si="1"/>
        <v/>
      </c>
    </row>
    <row r="25" spans="1:5" x14ac:dyDescent="0.3">
      <c r="A25" s="7"/>
      <c r="B25" s="7"/>
      <c r="C25" s="8" t="str">
        <f>IF($A25="","",SUMIFS(GL_Data[Amount_USD],GL_Data[GL_Category],$A25,GL_Data[Account],$B25,GL_Data[MonthStart],DATE(2025,11,1)))</f>
        <v/>
      </c>
      <c r="D25" s="8" t="str">
        <f>IF($A25="","",SUMIFS(GL_Data[Amount_USD],GL_Data[GL_Category],$A25,GL_Data[Account],$B25,GL_Data[MonthStart],DATE(2025,12,1)))</f>
        <v/>
      </c>
      <c r="E25" s="9" t="str">
        <f t="shared" si="1"/>
        <v/>
      </c>
    </row>
    <row r="26" spans="1:5" x14ac:dyDescent="0.3">
      <c r="A26" s="7"/>
      <c r="B26" s="7"/>
      <c r="C26" s="8" t="str">
        <f>IF($A26="","",SUMIFS(GL_Data[Amount_USD],GL_Data[GL_Category],$A26,GL_Data[Account],$B26,GL_Data[MonthStart],DATE(2025,11,1)))</f>
        <v/>
      </c>
      <c r="D26" s="8" t="str">
        <f>IF($A26="","",SUMIFS(GL_Data[Amount_USD],GL_Data[GL_Category],$A26,GL_Data[Account],$B26,GL_Data[MonthStart],DATE(2025,12,1)))</f>
        <v/>
      </c>
      <c r="E26" s="9" t="str">
        <f t="shared" si="1"/>
        <v/>
      </c>
    </row>
    <row r="27" spans="1:5" x14ac:dyDescent="0.3">
      <c r="A27" s="7"/>
      <c r="B27" s="7"/>
      <c r="C27" s="8" t="str">
        <f>IF($A27="","",SUMIFS(GL_Data[Amount_USD],GL_Data[GL_Category],$A27,GL_Data[Account],$B27,GL_Data[MonthStart],DATE(2025,11,1)))</f>
        <v/>
      </c>
      <c r="D27" s="8" t="str">
        <f>IF($A27="","",SUMIFS(GL_Data[Amount_USD],GL_Data[GL_Category],$A27,GL_Data[Account],$B27,GL_Data[MonthStart],DATE(2025,12,1)))</f>
        <v/>
      </c>
      <c r="E27" s="9" t="str">
        <f t="shared" si="1"/>
        <v/>
      </c>
    </row>
    <row r="28" spans="1:5" x14ac:dyDescent="0.3">
      <c r="A28" s="7"/>
      <c r="B28" s="7"/>
      <c r="C28" s="8" t="str">
        <f>IF($A28="","",SUMIFS(GL_Data[Amount_USD],GL_Data[GL_Category],$A28,GL_Data[Account],$B28,GL_Data[MonthStart],DATE(2025,11,1)))</f>
        <v/>
      </c>
      <c r="D28" s="8" t="str">
        <f>IF($A28="","",SUMIFS(GL_Data[Amount_USD],GL_Data[GL_Category],$A28,GL_Data[Account],$B28,GL_Data[MonthStart],DATE(2025,12,1)))</f>
        <v/>
      </c>
      <c r="E28" s="9" t="str">
        <f t="shared" si="1"/>
        <v/>
      </c>
    </row>
    <row r="29" spans="1:5" x14ac:dyDescent="0.3">
      <c r="A29" s="7"/>
      <c r="B29" s="7"/>
      <c r="C29" s="8" t="str">
        <f>IF($A29="","",SUMIFS(GL_Data[Amount_USD],GL_Data[GL_Category],$A29,GL_Data[Account],$B29,GL_Data[MonthStart],DATE(2025,11,1)))</f>
        <v/>
      </c>
      <c r="D29" s="8" t="str">
        <f>IF($A29="","",SUMIFS(GL_Data[Amount_USD],GL_Data[GL_Category],$A29,GL_Data[Account],$B29,GL_Data[MonthStart],DATE(2025,12,1)))</f>
        <v/>
      </c>
      <c r="E29" s="9" t="str">
        <f t="shared" si="1"/>
        <v/>
      </c>
    </row>
    <row r="30" spans="1:5" x14ac:dyDescent="0.3">
      <c r="A30" s="7"/>
      <c r="B30" s="7"/>
      <c r="C30" s="8" t="str">
        <f>IF($A30="","",SUMIFS(GL_Data[Amount_USD],GL_Data[GL_Category],$A30,GL_Data[Account],$B30,GL_Data[MonthStart],DATE(2025,11,1)))</f>
        <v/>
      </c>
      <c r="D30" s="8" t="str">
        <f>IF($A30="","",SUMIFS(GL_Data[Amount_USD],GL_Data[GL_Category],$A30,GL_Data[Account],$B30,GL_Data[MonthStart],DATE(2025,12,1)))</f>
        <v/>
      </c>
      <c r="E30" s="9" t="str">
        <f t="shared" si="1"/>
        <v/>
      </c>
    </row>
    <row r="31" spans="1:5" x14ac:dyDescent="0.3">
      <c r="A31" s="7"/>
      <c r="B31" s="7"/>
      <c r="C31" s="8" t="str">
        <f>IF($A31="","",SUMIFS(GL_Data[Amount_USD],GL_Data[GL_Category],$A31,GL_Data[Account],$B31,GL_Data[MonthStart],DATE(2025,11,1)))</f>
        <v/>
      </c>
      <c r="D31" s="8" t="str">
        <f>IF($A31="","",SUMIFS(GL_Data[Amount_USD],GL_Data[GL_Category],$A31,GL_Data[Account],$B31,GL_Data[MonthStart],DATE(2025,12,1)))</f>
        <v/>
      </c>
      <c r="E31" s="9" t="str">
        <f t="shared" si="1"/>
        <v/>
      </c>
    </row>
    <row r="32" spans="1:5" x14ac:dyDescent="0.3">
      <c r="A32" s="7"/>
      <c r="B32" s="7"/>
      <c r="C32" s="8" t="str">
        <f>IF($A32="","",SUMIFS(GL_Data[Amount_USD],GL_Data[GL_Category],$A32,GL_Data[Account],$B32,GL_Data[MonthStart],DATE(2025,11,1)))</f>
        <v/>
      </c>
      <c r="D32" s="8" t="str">
        <f>IF($A32="","",SUMIFS(GL_Data[Amount_USD],GL_Data[GL_Category],$A32,GL_Data[Account],$B32,GL_Data[MonthStart],DATE(2025,12,1)))</f>
        <v/>
      </c>
      <c r="E32" s="9" t="str">
        <f t="shared" si="1"/>
        <v/>
      </c>
    </row>
    <row r="33" spans="1:5" x14ac:dyDescent="0.3">
      <c r="A33" s="7"/>
      <c r="B33" s="7"/>
      <c r="C33" s="8" t="str">
        <f>IF($A33="","",SUMIFS(GL_Data[Amount_USD],GL_Data[GL_Category],$A33,GL_Data[Account],$B33,GL_Data[MonthStart],DATE(2025,11,1)))</f>
        <v/>
      </c>
      <c r="D33" s="8" t="str">
        <f>IF($A33="","",SUMIFS(GL_Data[Amount_USD],GL_Data[GL_Category],$A33,GL_Data[Account],$B33,GL_Data[MonthStart],DATE(2025,12,1)))</f>
        <v/>
      </c>
      <c r="E33" s="9" t="str">
        <f t="shared" si="1"/>
        <v/>
      </c>
    </row>
    <row r="34" spans="1:5" x14ac:dyDescent="0.3">
      <c r="A34" s="7"/>
      <c r="B34" s="7"/>
      <c r="C34" s="8" t="str">
        <f>IF($A34="","",SUMIFS(GL_Data[Amount_USD],GL_Data[GL_Category],$A34,GL_Data[Account],$B34,GL_Data[MonthStart],DATE(2025,11,1)))</f>
        <v/>
      </c>
      <c r="D34" s="8" t="str">
        <f>IF($A34="","",SUMIFS(GL_Data[Amount_USD],GL_Data[GL_Category],$A34,GL_Data[Account],$B34,GL_Data[MonthStart],DATE(2025,12,1)))</f>
        <v/>
      </c>
      <c r="E34" s="9" t="str">
        <f t="shared" si="1"/>
        <v/>
      </c>
    </row>
    <row r="35" spans="1:5" x14ac:dyDescent="0.3">
      <c r="A35" s="7"/>
      <c r="B35" s="7"/>
      <c r="C35" s="8" t="str">
        <f>IF($A35="","",SUMIFS(GL_Data[Amount_USD],GL_Data[GL_Category],$A35,GL_Data[Account],$B35,GL_Data[MonthStart],DATE(2025,11,1)))</f>
        <v/>
      </c>
      <c r="D35" s="8" t="str">
        <f>IF($A35="","",SUMIFS(GL_Data[Amount_USD],GL_Data[GL_Category],$A35,GL_Data[Account],$B35,GL_Data[MonthStart],DATE(2025,12,1)))</f>
        <v/>
      </c>
      <c r="E35" s="9" t="str">
        <f t="shared" si="1"/>
        <v/>
      </c>
    </row>
    <row r="36" spans="1:5" x14ac:dyDescent="0.3">
      <c r="A36" s="7"/>
      <c r="B36" s="7"/>
      <c r="C36" s="8" t="str">
        <f>IF($A36="","",SUMIFS(GL_Data[Amount_USD],GL_Data[GL_Category],$A36,GL_Data[Account],$B36,GL_Data[MonthStart],DATE(2025,11,1)))</f>
        <v/>
      </c>
      <c r="D36" s="8" t="str">
        <f>IF($A36="","",SUMIFS(GL_Data[Amount_USD],GL_Data[GL_Category],$A36,GL_Data[Account],$B36,GL_Data[MonthStart],DATE(2025,12,1)))</f>
        <v/>
      </c>
      <c r="E36" s="9" t="str">
        <f t="shared" si="1"/>
        <v/>
      </c>
    </row>
    <row r="37" spans="1:5" x14ac:dyDescent="0.3">
      <c r="A37" s="7"/>
      <c r="B37" s="7"/>
      <c r="C37" s="8" t="str">
        <f>IF($A37="","",SUMIFS(GL_Data[Amount_USD],GL_Data[GL_Category],$A37,GL_Data[Account],$B37,GL_Data[MonthStart],DATE(2025,11,1)))</f>
        <v/>
      </c>
      <c r="D37" s="8" t="str">
        <f>IF($A37="","",SUMIFS(GL_Data[Amount_USD],GL_Data[GL_Category],$A37,GL_Data[Account],$B37,GL_Data[MonthStart],DATE(2025,12,1)))</f>
        <v/>
      </c>
      <c r="E37" s="9" t="str">
        <f t="shared" si="1"/>
        <v/>
      </c>
    </row>
    <row r="38" spans="1:5" x14ac:dyDescent="0.3">
      <c r="A38" s="7"/>
      <c r="B38" s="7"/>
      <c r="C38" s="8" t="str">
        <f>IF($A38="","",SUMIFS(GL_Data[Amount_USD],GL_Data[GL_Category],$A38,GL_Data[Account],$B38,GL_Data[MonthStart],DATE(2025,11,1)))</f>
        <v/>
      </c>
      <c r="D38" s="8" t="str">
        <f>IF($A38="","",SUMIFS(GL_Data[Amount_USD],GL_Data[GL_Category],$A38,GL_Data[Account],$B38,GL_Data[MonthStart],DATE(2025,12,1)))</f>
        <v/>
      </c>
      <c r="E38" s="9" t="str">
        <f t="shared" si="1"/>
        <v/>
      </c>
    </row>
    <row r="39" spans="1:5" x14ac:dyDescent="0.3">
      <c r="A39" s="7"/>
      <c r="B39" s="7"/>
      <c r="C39" s="8" t="str">
        <f>IF($A39="","",SUMIFS(GL_Data[Amount_USD],GL_Data[GL_Category],$A39,GL_Data[Account],$B39,GL_Data[MonthStart],DATE(2025,11,1)))</f>
        <v/>
      </c>
      <c r="D39" s="8" t="str">
        <f>IF($A39="","",SUMIFS(GL_Data[Amount_USD],GL_Data[GL_Category],$A39,GL_Data[Account],$B39,GL_Data[MonthStart],DATE(2025,12,1)))</f>
        <v/>
      </c>
      <c r="E39" s="9" t="str">
        <f t="shared" si="1"/>
        <v/>
      </c>
    </row>
    <row r="40" spans="1:5" x14ac:dyDescent="0.3">
      <c r="A40" s="7"/>
      <c r="B40" s="7"/>
      <c r="C40" s="8" t="str">
        <f>IF($A40="","",SUMIFS(GL_Data[Amount_USD],GL_Data[GL_Category],$A40,GL_Data[Account],$B40,GL_Data[MonthStart],DATE(2025,11,1)))</f>
        <v/>
      </c>
      <c r="D40" s="8" t="str">
        <f>IF($A40="","",SUMIFS(GL_Data[Amount_USD],GL_Data[GL_Category],$A40,GL_Data[Account],$B40,GL_Data[MonthStart],DATE(2025,12,1)))</f>
        <v/>
      </c>
      <c r="E40" s="9" t="str">
        <f t="shared" si="1"/>
        <v/>
      </c>
    </row>
    <row r="41" spans="1:5" x14ac:dyDescent="0.3">
      <c r="A41" s="7"/>
      <c r="B41" s="7"/>
      <c r="C41" s="8" t="str">
        <f>IF($A41="","",SUMIFS(GL_Data[Amount_USD],GL_Data[GL_Category],$A41,GL_Data[Account],$B41,GL_Data[MonthStart],DATE(2025,11,1)))</f>
        <v/>
      </c>
      <c r="D41" s="8" t="str">
        <f>IF($A41="","",SUMIFS(GL_Data[Amount_USD],GL_Data[GL_Category],$A41,GL_Data[Account],$B41,GL_Data[MonthStart],DATE(2025,12,1)))</f>
        <v/>
      </c>
      <c r="E41" s="9" t="str">
        <f t="shared" si="1"/>
        <v/>
      </c>
    </row>
    <row r="42" spans="1:5" x14ac:dyDescent="0.3">
      <c r="A42" s="7"/>
      <c r="B42" s="7"/>
      <c r="C42" s="8" t="str">
        <f>IF($A42="","",SUMIFS(GL_Data[Amount_USD],GL_Data[GL_Category],$A42,GL_Data[Account],$B42,GL_Data[MonthStart],DATE(2025,11,1)))</f>
        <v/>
      </c>
      <c r="D42" s="8" t="str">
        <f>IF($A42="","",SUMIFS(GL_Data[Amount_USD],GL_Data[GL_Category],$A42,GL_Data[Account],$B42,GL_Data[MonthStart],DATE(2025,12,1)))</f>
        <v/>
      </c>
      <c r="E42" s="9" t="str">
        <f t="shared" si="1"/>
        <v/>
      </c>
    </row>
    <row r="43" spans="1:5" x14ac:dyDescent="0.3">
      <c r="A43" s="7"/>
      <c r="B43" s="7"/>
      <c r="C43" s="8" t="str">
        <f>IF($A43="","",SUMIFS(GL_Data[Amount_USD],GL_Data[GL_Category],$A43,GL_Data[Account],$B43,GL_Data[MonthStart],DATE(2025,11,1)))</f>
        <v/>
      </c>
      <c r="D43" s="8" t="str">
        <f>IF($A43="","",SUMIFS(GL_Data[Amount_USD],GL_Data[GL_Category],$A43,GL_Data[Account],$B43,GL_Data[MonthStart],DATE(2025,12,1)))</f>
        <v/>
      </c>
      <c r="E43" s="9" t="str">
        <f t="shared" si="1"/>
        <v/>
      </c>
    </row>
    <row r="44" spans="1:5" x14ac:dyDescent="0.3">
      <c r="A44" s="7"/>
      <c r="B44" s="7"/>
      <c r="C44" s="8" t="str">
        <f>IF($A44="","",SUMIFS(GL_Data[Amount_USD],GL_Data[GL_Category],$A44,GL_Data[Account],$B44,GL_Data[MonthStart],DATE(2025,11,1)))</f>
        <v/>
      </c>
      <c r="D44" s="8" t="str">
        <f>IF($A44="","",SUMIFS(GL_Data[Amount_USD],GL_Data[GL_Category],$A44,GL_Data[Account],$B44,GL_Data[MonthStart],DATE(2025,12,1)))</f>
        <v/>
      </c>
      <c r="E44" s="9" t="str">
        <f t="shared" si="1"/>
        <v/>
      </c>
    </row>
    <row r="45" spans="1:5" x14ac:dyDescent="0.3">
      <c r="A45" s="7"/>
      <c r="B45" s="7"/>
      <c r="C45" s="8" t="str">
        <f>IF($A45="","",SUMIFS(GL_Data[Amount_USD],GL_Data[GL_Category],$A45,GL_Data[Account],$B45,GL_Data[MonthStart],DATE(2025,11,1)))</f>
        <v/>
      </c>
      <c r="D45" s="8" t="str">
        <f>IF($A45="","",SUMIFS(GL_Data[Amount_USD],GL_Data[GL_Category],$A45,GL_Data[Account],$B45,GL_Data[MonthStart],DATE(2025,12,1)))</f>
        <v/>
      </c>
      <c r="E45" s="9" t="str">
        <f t="shared" si="1"/>
        <v/>
      </c>
    </row>
    <row r="46" spans="1:5" x14ac:dyDescent="0.3">
      <c r="A46" s="7"/>
      <c r="B46" s="7"/>
      <c r="C46" s="8" t="str">
        <f>IF($A46="","",SUMIFS(GL_Data[Amount_USD],GL_Data[GL_Category],$A46,GL_Data[Account],$B46,GL_Data[MonthStart],DATE(2025,11,1)))</f>
        <v/>
      </c>
      <c r="D46" s="8" t="str">
        <f>IF($A46="","",SUMIFS(GL_Data[Amount_USD],GL_Data[GL_Category],$A46,GL_Data[Account],$B46,GL_Data[MonthStart],DATE(2025,12,1)))</f>
        <v/>
      </c>
      <c r="E46" s="9" t="str">
        <f t="shared" si="1"/>
        <v/>
      </c>
    </row>
    <row r="47" spans="1:5" x14ac:dyDescent="0.3">
      <c r="A47" s="7"/>
      <c r="B47" s="7"/>
      <c r="C47" s="8" t="str">
        <f>IF($A47="","",SUMIFS(GL_Data[Amount_USD],GL_Data[GL_Category],$A47,GL_Data[Account],$B47,GL_Data[MonthStart],DATE(2025,11,1)))</f>
        <v/>
      </c>
      <c r="D47" s="8" t="str">
        <f>IF($A47="","",SUMIFS(GL_Data[Amount_USD],GL_Data[GL_Category],$A47,GL_Data[Account],$B47,GL_Data[MonthStart],DATE(2025,12,1)))</f>
        <v/>
      </c>
      <c r="E47" s="9" t="str">
        <f t="shared" si="1"/>
        <v/>
      </c>
    </row>
    <row r="48" spans="1:5" x14ac:dyDescent="0.3">
      <c r="A48" s="7"/>
      <c r="B48" s="7"/>
      <c r="C48" s="8" t="str">
        <f>IF($A48="","",SUMIFS(GL_Data[Amount_USD],GL_Data[GL_Category],$A48,GL_Data[Account],$B48,GL_Data[MonthStart],DATE(2025,11,1)))</f>
        <v/>
      </c>
      <c r="D48" s="8" t="str">
        <f>IF($A48="","",SUMIFS(GL_Data[Amount_USD],GL_Data[GL_Category],$A48,GL_Data[Account],$B48,GL_Data[MonthStart],DATE(2025,12,1)))</f>
        <v/>
      </c>
      <c r="E48" s="9" t="str">
        <f t="shared" si="1"/>
        <v/>
      </c>
    </row>
    <row r="49" spans="1:5" x14ac:dyDescent="0.3">
      <c r="A49" s="7"/>
      <c r="B49" s="7"/>
      <c r="C49" s="8" t="str">
        <f>IF($A49="","",SUMIFS(GL_Data[Amount_USD],GL_Data[GL_Category],$A49,GL_Data[Account],$B49,GL_Data[MonthStart],DATE(2025,11,1)))</f>
        <v/>
      </c>
      <c r="D49" s="8" t="str">
        <f>IF($A49="","",SUMIFS(GL_Data[Amount_USD],GL_Data[GL_Category],$A49,GL_Data[Account],$B49,GL_Data[MonthStart],DATE(2025,12,1)))</f>
        <v/>
      </c>
      <c r="E49" s="9" t="str">
        <f t="shared" si="1"/>
        <v/>
      </c>
    </row>
    <row r="50" spans="1:5" x14ac:dyDescent="0.3">
      <c r="A50" s="7"/>
      <c r="B50" s="7"/>
      <c r="C50" s="8" t="str">
        <f>IF($A50="","",SUMIFS(GL_Data[Amount_USD],GL_Data[GL_Category],$A50,GL_Data[Account],$B50,GL_Data[MonthStart],DATE(2025,11,1)))</f>
        <v/>
      </c>
      <c r="D50" s="8" t="str">
        <f>IF($A50="","",SUMIFS(GL_Data[Amount_USD],GL_Data[GL_Category],$A50,GL_Data[Account],$B50,GL_Data[MonthStart],DATE(2025,12,1)))</f>
        <v/>
      </c>
      <c r="E50" s="9" t="str">
        <f t="shared" si="1"/>
        <v/>
      </c>
    </row>
    <row r="51" spans="1:5" x14ac:dyDescent="0.3">
      <c r="A51" s="7"/>
      <c r="B51" s="7"/>
      <c r="C51" s="8" t="str">
        <f>IF($A51="","",SUMIFS(GL_Data[Amount_USD],GL_Data[GL_Category],$A51,GL_Data[Account],$B51,GL_Data[MonthStart],DATE(2025,11,1)))</f>
        <v/>
      </c>
      <c r="D51" s="8" t="str">
        <f>IF($A51="","",SUMIFS(GL_Data[Amount_USD],GL_Data[GL_Category],$A51,GL_Data[Account],$B51,GL_Data[MonthStart],DATE(2025,12,1)))</f>
        <v/>
      </c>
      <c r="E51" s="9" t="str">
        <f t="shared" si="1"/>
        <v/>
      </c>
    </row>
    <row r="52" spans="1:5" x14ac:dyDescent="0.3">
      <c r="A52" s="7"/>
      <c r="B52" s="7"/>
      <c r="C52" s="8" t="str">
        <f>IF($A52="","",SUMIFS(GL_Data[Amount_USD],GL_Data[GL_Category],$A52,GL_Data[Account],$B52,GL_Data[MonthStart],DATE(2025,11,1)))</f>
        <v/>
      </c>
      <c r="D52" s="8" t="str">
        <f>IF($A52="","",SUMIFS(GL_Data[Amount_USD],GL_Data[GL_Category],$A52,GL_Data[Account],$B52,GL_Data[MonthStart],DATE(2025,12,1)))</f>
        <v/>
      </c>
      <c r="E52" s="9" t="str">
        <f t="shared" si="1"/>
        <v/>
      </c>
    </row>
    <row r="53" spans="1:5" x14ac:dyDescent="0.3">
      <c r="A53" s="7"/>
      <c r="B53" s="7"/>
      <c r="C53" s="8" t="str">
        <f>IF($A53="","",SUMIFS(GL_Data[Amount_USD],GL_Data[GL_Category],$A53,GL_Data[Account],$B53,GL_Data[MonthStart],DATE(2025,11,1)))</f>
        <v/>
      </c>
      <c r="D53" s="8" t="str">
        <f>IF($A53="","",SUMIFS(GL_Data[Amount_USD],GL_Data[GL_Category],$A53,GL_Data[Account],$B53,GL_Data[MonthStart],DATE(2025,12,1)))</f>
        <v/>
      </c>
      <c r="E53" s="9" t="str">
        <f t="shared" si="1"/>
        <v/>
      </c>
    </row>
    <row r="54" spans="1:5" x14ac:dyDescent="0.3">
      <c r="A54" s="7"/>
      <c r="B54" s="7"/>
      <c r="C54" s="8" t="str">
        <f>IF($A54="","",SUMIFS(GL_Data[Amount_USD],GL_Data[GL_Category],$A54,GL_Data[Account],$B54,GL_Data[MonthStart],DATE(2025,11,1)))</f>
        <v/>
      </c>
      <c r="D54" s="8" t="str">
        <f>IF($A54="","",SUMIFS(GL_Data[Amount_USD],GL_Data[GL_Category],$A54,GL_Data[Account],$B54,GL_Data[MonthStart],DATE(2025,12,1)))</f>
        <v/>
      </c>
      <c r="E54" s="9" t="str">
        <f t="shared" si="1"/>
        <v/>
      </c>
    </row>
    <row r="55" spans="1:5" x14ac:dyDescent="0.3">
      <c r="A55" s="7"/>
      <c r="B55" s="7"/>
      <c r="C55" s="8" t="str">
        <f>IF($A55="","",SUMIFS(GL_Data[Amount_USD],GL_Data[GL_Category],$A55,GL_Data[Account],$B55,GL_Data[MonthStart],DATE(2025,11,1)))</f>
        <v/>
      </c>
      <c r="D55" s="8" t="str">
        <f>IF($A55="","",SUMIFS(GL_Data[Amount_USD],GL_Data[GL_Category],$A55,GL_Data[Account],$B55,GL_Data[MonthStart],DATE(2025,12,1)))</f>
        <v/>
      </c>
      <c r="E55" s="9" t="str">
        <f t="shared" si="1"/>
        <v/>
      </c>
    </row>
    <row r="56" spans="1:5" x14ac:dyDescent="0.3">
      <c r="A56" s="7"/>
      <c r="B56" s="7"/>
      <c r="C56" s="8" t="str">
        <f>IF($A56="","",SUMIFS(GL_Data[Amount_USD],GL_Data[GL_Category],$A56,GL_Data[Account],$B56,GL_Data[MonthStart],DATE(2025,11,1)))</f>
        <v/>
      </c>
      <c r="D56" s="8" t="str">
        <f>IF($A56="","",SUMIFS(GL_Data[Amount_USD],GL_Data[GL_Category],$A56,GL_Data[Account],$B56,GL_Data[MonthStart],DATE(2025,12,1)))</f>
        <v/>
      </c>
      <c r="E56" s="9" t="str">
        <f t="shared" si="1"/>
        <v/>
      </c>
    </row>
    <row r="57" spans="1:5" x14ac:dyDescent="0.3">
      <c r="A57" s="7"/>
      <c r="B57" s="7"/>
      <c r="C57" s="8" t="str">
        <f>IF($A57="","",SUMIFS(GL_Data[Amount_USD],GL_Data[GL_Category],$A57,GL_Data[Account],$B57,GL_Data[MonthStart],DATE(2025,11,1)))</f>
        <v/>
      </c>
      <c r="D57" s="8" t="str">
        <f>IF($A57="","",SUMIFS(GL_Data[Amount_USD],GL_Data[GL_Category],$A57,GL_Data[Account],$B57,GL_Data[MonthStart],DATE(2025,12,1)))</f>
        <v/>
      </c>
      <c r="E57" s="9" t="str">
        <f t="shared" si="1"/>
        <v/>
      </c>
    </row>
    <row r="58" spans="1:5" x14ac:dyDescent="0.3">
      <c r="A58" s="7"/>
      <c r="B58" s="7"/>
      <c r="C58" s="8" t="str">
        <f>IF($A58="","",SUMIFS(GL_Data[Amount_USD],GL_Data[GL_Category],$A58,GL_Data[Account],$B58,GL_Data[MonthStart],DATE(2025,11,1)))</f>
        <v/>
      </c>
      <c r="D58" s="8" t="str">
        <f>IF($A58="","",SUMIFS(GL_Data[Amount_USD],GL_Data[GL_Category],$A58,GL_Data[Account],$B58,GL_Data[MonthStart],DATE(2025,12,1)))</f>
        <v/>
      </c>
      <c r="E58" s="9" t="str">
        <f t="shared" si="1"/>
        <v/>
      </c>
    </row>
    <row r="59" spans="1:5" x14ac:dyDescent="0.3">
      <c r="A59" s="7"/>
      <c r="B59" s="7"/>
      <c r="C59" s="8" t="str">
        <f>IF($A59="","",SUMIFS(GL_Data[Amount_USD],GL_Data[GL_Category],$A59,GL_Data[Account],$B59,GL_Data[MonthStart],DATE(2025,11,1)))</f>
        <v/>
      </c>
      <c r="D59" s="8" t="str">
        <f>IF($A59="","",SUMIFS(GL_Data[Amount_USD],GL_Data[GL_Category],$A59,GL_Data[Account],$B59,GL_Data[MonthStart],DATE(2025,12,1)))</f>
        <v/>
      </c>
      <c r="E59" s="9" t="str">
        <f t="shared" si="1"/>
        <v/>
      </c>
    </row>
    <row r="60" spans="1:5" x14ac:dyDescent="0.3">
      <c r="A60" s="7"/>
      <c r="B60" s="7"/>
      <c r="C60" s="8" t="str">
        <f>IF($A60="","",SUMIFS(GL_Data[Amount_USD],GL_Data[GL_Category],$A60,GL_Data[Account],$B60,GL_Data[MonthStart],DATE(2025,11,1)))</f>
        <v/>
      </c>
      <c r="D60" s="8" t="str">
        <f>IF($A60="","",SUMIFS(GL_Data[Amount_USD],GL_Data[GL_Category],$A60,GL_Data[Account],$B60,GL_Data[MonthStart],DATE(2025,12,1)))</f>
        <v/>
      </c>
      <c r="E60" s="9" t="str">
        <f t="shared" si="1"/>
        <v/>
      </c>
    </row>
    <row r="61" spans="1:5" x14ac:dyDescent="0.3">
      <c r="A61" s="7"/>
      <c r="B61" s="7"/>
      <c r="C61" s="8" t="str">
        <f>IF($A61="","",SUMIFS(GL_Data[Amount_USD],GL_Data[GL_Category],$A61,GL_Data[Account],$B61,GL_Data[MonthStart],DATE(2025,11,1)))</f>
        <v/>
      </c>
      <c r="D61" s="8" t="str">
        <f>IF($A61="","",SUMIFS(GL_Data[Amount_USD],GL_Data[GL_Category],$A61,GL_Data[Account],$B61,GL_Data[MonthStart],DATE(2025,12,1)))</f>
        <v/>
      </c>
      <c r="E61" s="9" t="str">
        <f t="shared" si="1"/>
        <v/>
      </c>
    </row>
    <row r="62" spans="1:5" x14ac:dyDescent="0.3">
      <c r="A62" s="7"/>
      <c r="B62" s="7"/>
      <c r="C62" s="8" t="str">
        <f>IF($A62="","",SUMIFS(GL_Data[Amount_USD],GL_Data[GL_Category],$A62,GL_Data[Account],$B62,GL_Data[MonthStart],DATE(2025,11,1)))</f>
        <v/>
      </c>
      <c r="D62" s="8" t="str">
        <f>IF($A62="","",SUMIFS(GL_Data[Amount_USD],GL_Data[GL_Category],$A62,GL_Data[Account],$B62,GL_Data[MonthStart],DATE(2025,12,1)))</f>
        <v/>
      </c>
      <c r="E62" s="9" t="str">
        <f t="shared" si="1"/>
        <v/>
      </c>
    </row>
    <row r="63" spans="1:5" x14ac:dyDescent="0.3">
      <c r="A63" s="7"/>
      <c r="B63" s="7"/>
      <c r="C63" s="8" t="str">
        <f>IF($A63="","",SUMIFS(GL_Data[Amount_USD],GL_Data[GL_Category],$A63,GL_Data[Account],$B63,GL_Data[MonthStart],DATE(2025,11,1)))</f>
        <v/>
      </c>
      <c r="D63" s="8" t="str">
        <f>IF($A63="","",SUMIFS(GL_Data[Amount_USD],GL_Data[GL_Category],$A63,GL_Data[Account],$B63,GL_Data[MonthStart],DATE(2025,12,1)))</f>
        <v/>
      </c>
      <c r="E63" s="9" t="str">
        <f t="shared" si="1"/>
        <v/>
      </c>
    </row>
    <row r="64" spans="1:5" x14ac:dyDescent="0.3">
      <c r="A64" s="7"/>
      <c r="B64" s="7"/>
      <c r="C64" s="8" t="str">
        <f>IF($A64="","",SUMIFS(GL_Data[Amount_USD],GL_Data[GL_Category],$A64,GL_Data[Account],$B64,GL_Data[MonthStart],DATE(2025,11,1)))</f>
        <v/>
      </c>
      <c r="D64" s="8" t="str">
        <f>IF($A64="","",SUMIFS(GL_Data[Amount_USD],GL_Data[GL_Category],$A64,GL_Data[Account],$B64,GL_Data[MonthStart],DATE(2025,12,1)))</f>
        <v/>
      </c>
      <c r="E64" s="9" t="str">
        <f t="shared" si="1"/>
        <v/>
      </c>
    </row>
    <row r="65" spans="1:5" x14ac:dyDescent="0.3">
      <c r="A65" s="7"/>
      <c r="B65" s="7"/>
      <c r="C65" s="8" t="str">
        <f>IF($A65="","",SUMIFS(GL_Data[Amount_USD],GL_Data[GL_Category],$A65,GL_Data[Account],$B65,GL_Data[MonthStart],DATE(2025,11,1)))</f>
        <v/>
      </c>
      <c r="D65" s="8" t="str">
        <f>IF($A65="","",SUMIFS(GL_Data[Amount_USD],GL_Data[GL_Category],$A65,GL_Data[Account],$B65,GL_Data[MonthStart],DATE(2025,12,1)))</f>
        <v/>
      </c>
      <c r="E65" s="9" t="str">
        <f t="shared" si="1"/>
        <v/>
      </c>
    </row>
    <row r="66" spans="1:5" x14ac:dyDescent="0.3">
      <c r="A66" s="7"/>
      <c r="B66" s="7"/>
      <c r="C66" s="8" t="str">
        <f>IF($A66="","",SUMIFS(GL_Data[Amount_USD],GL_Data[GL_Category],$A66,GL_Data[Account],$B66,GL_Data[MonthStart],DATE(2025,11,1)))</f>
        <v/>
      </c>
      <c r="D66" s="8" t="str">
        <f>IF($A66="","",SUMIFS(GL_Data[Amount_USD],GL_Data[GL_Category],$A66,GL_Data[Account],$B66,GL_Data[MonthStart],DATE(2025,12,1)))</f>
        <v/>
      </c>
      <c r="E66" s="9" t="str">
        <f t="shared" si="1"/>
        <v/>
      </c>
    </row>
    <row r="67" spans="1:5" x14ac:dyDescent="0.3">
      <c r="A67" s="7"/>
      <c r="B67" s="7"/>
      <c r="C67" s="8" t="str">
        <f>IF($A67="","",SUMIFS(GL_Data[Amount_USD],GL_Data[GL_Category],$A67,GL_Data[Account],$B67,GL_Data[MonthStart],DATE(2025,11,1)))</f>
        <v/>
      </c>
      <c r="D67" s="8" t="str">
        <f>IF($A67="","",SUMIFS(GL_Data[Amount_USD],GL_Data[GL_Category],$A67,GL_Data[Account],$B67,GL_Data[MonthStart],DATE(2025,12,1)))</f>
        <v/>
      </c>
      <c r="E67" s="9" t="str">
        <f t="shared" si="1"/>
        <v/>
      </c>
    </row>
    <row r="68" spans="1:5" x14ac:dyDescent="0.3">
      <c r="A68" s="7"/>
      <c r="B68" s="7"/>
      <c r="C68" s="8" t="str">
        <f>IF($A68="","",SUMIFS(GL_Data[Amount_USD],GL_Data[GL_Category],$A68,GL_Data[Account],$B68,GL_Data[MonthStart],DATE(2025,11,1)))</f>
        <v/>
      </c>
      <c r="D68" s="8" t="str">
        <f>IF($A68="","",SUMIFS(GL_Data[Amount_USD],GL_Data[GL_Category],$A68,GL_Data[Account],$B68,GL_Data[MonthStart],DATE(2025,12,1)))</f>
        <v/>
      </c>
      <c r="E68" s="9" t="str">
        <f t="shared" si="1"/>
        <v/>
      </c>
    </row>
    <row r="69" spans="1:5" x14ac:dyDescent="0.3">
      <c r="A69" s="7"/>
      <c r="B69" s="7"/>
      <c r="C69" s="8" t="str">
        <f>IF($A69="","",SUMIFS(GL_Data[Amount_USD],GL_Data[GL_Category],$A69,GL_Data[Account],$B69,GL_Data[MonthStart],DATE(2025,11,1)))</f>
        <v/>
      </c>
      <c r="D69" s="8" t="str">
        <f>IF($A69="","",SUMIFS(GL_Data[Amount_USD],GL_Data[GL_Category],$A69,GL_Data[Account],$B69,GL_Data[MonthStart],DATE(2025,12,1)))</f>
        <v/>
      </c>
      <c r="E69" s="9" t="str">
        <f t="shared" ref="E69:E132" si="2">IF($A69="","",IF($C69=0,"",($D69-$C69)/ABS($C69)))</f>
        <v/>
      </c>
    </row>
    <row r="70" spans="1:5" x14ac:dyDescent="0.3">
      <c r="A70" s="7"/>
      <c r="B70" s="7"/>
      <c r="C70" s="8" t="str">
        <f>IF($A70="","",SUMIFS(GL_Data[Amount_USD],GL_Data[GL_Category],$A70,GL_Data[Account],$B70,GL_Data[MonthStart],DATE(2025,11,1)))</f>
        <v/>
      </c>
      <c r="D70" s="8" t="str">
        <f>IF($A70="","",SUMIFS(GL_Data[Amount_USD],GL_Data[GL_Category],$A70,GL_Data[Account],$B70,GL_Data[MonthStart],DATE(2025,12,1)))</f>
        <v/>
      </c>
      <c r="E70" s="9" t="str">
        <f t="shared" si="2"/>
        <v/>
      </c>
    </row>
    <row r="71" spans="1:5" x14ac:dyDescent="0.3">
      <c r="A71" s="7"/>
      <c r="B71" s="7"/>
      <c r="C71" s="8" t="str">
        <f>IF($A71="","",SUMIFS(GL_Data[Amount_USD],GL_Data[GL_Category],$A71,GL_Data[Account],$B71,GL_Data[MonthStart],DATE(2025,11,1)))</f>
        <v/>
      </c>
      <c r="D71" s="8" t="str">
        <f>IF($A71="","",SUMIFS(GL_Data[Amount_USD],GL_Data[GL_Category],$A71,GL_Data[Account],$B71,GL_Data[MonthStart],DATE(2025,12,1)))</f>
        <v/>
      </c>
      <c r="E71" s="9" t="str">
        <f t="shared" si="2"/>
        <v/>
      </c>
    </row>
    <row r="72" spans="1:5" x14ac:dyDescent="0.3">
      <c r="A72" s="7"/>
      <c r="B72" s="7"/>
      <c r="C72" s="8" t="str">
        <f>IF($A72="","",SUMIFS(GL_Data[Amount_USD],GL_Data[GL_Category],$A72,GL_Data[Account],$B72,GL_Data[MonthStart],DATE(2025,11,1)))</f>
        <v/>
      </c>
      <c r="D72" s="8" t="str">
        <f>IF($A72="","",SUMIFS(GL_Data[Amount_USD],GL_Data[GL_Category],$A72,GL_Data[Account],$B72,GL_Data[MonthStart],DATE(2025,12,1)))</f>
        <v/>
      </c>
      <c r="E72" s="9" t="str">
        <f t="shared" si="2"/>
        <v/>
      </c>
    </row>
    <row r="73" spans="1:5" x14ac:dyDescent="0.3">
      <c r="A73" s="7"/>
      <c r="B73" s="7"/>
      <c r="C73" s="8" t="str">
        <f>IF($A73="","",SUMIFS(GL_Data[Amount_USD],GL_Data[GL_Category],$A73,GL_Data[Account],$B73,GL_Data[MonthStart],DATE(2025,11,1)))</f>
        <v/>
      </c>
      <c r="D73" s="8" t="str">
        <f>IF($A73="","",SUMIFS(GL_Data[Amount_USD],GL_Data[GL_Category],$A73,GL_Data[Account],$B73,GL_Data[MonthStart],DATE(2025,12,1)))</f>
        <v/>
      </c>
      <c r="E73" s="9" t="str">
        <f t="shared" si="2"/>
        <v/>
      </c>
    </row>
    <row r="74" spans="1:5" x14ac:dyDescent="0.3">
      <c r="A74" s="7"/>
      <c r="B74" s="7"/>
      <c r="C74" s="8" t="str">
        <f>IF($A74="","",SUMIFS(GL_Data[Amount_USD],GL_Data[GL_Category],$A74,GL_Data[Account],$B74,GL_Data[MonthStart],DATE(2025,11,1)))</f>
        <v/>
      </c>
      <c r="D74" s="8" t="str">
        <f>IF($A74="","",SUMIFS(GL_Data[Amount_USD],GL_Data[GL_Category],$A74,GL_Data[Account],$B74,GL_Data[MonthStart],DATE(2025,12,1)))</f>
        <v/>
      </c>
      <c r="E74" s="9" t="str">
        <f t="shared" si="2"/>
        <v/>
      </c>
    </row>
    <row r="75" spans="1:5" x14ac:dyDescent="0.3">
      <c r="A75" s="7"/>
      <c r="B75" s="7"/>
      <c r="C75" s="8" t="str">
        <f>IF($A75="","",SUMIFS(GL_Data[Amount_USD],GL_Data[GL_Category],$A75,GL_Data[Account],$B75,GL_Data[MonthStart],DATE(2025,11,1)))</f>
        <v/>
      </c>
      <c r="D75" s="8" t="str">
        <f>IF($A75="","",SUMIFS(GL_Data[Amount_USD],GL_Data[GL_Category],$A75,GL_Data[Account],$B75,GL_Data[MonthStart],DATE(2025,12,1)))</f>
        <v/>
      </c>
      <c r="E75" s="9" t="str">
        <f t="shared" si="2"/>
        <v/>
      </c>
    </row>
    <row r="76" spans="1:5" x14ac:dyDescent="0.3">
      <c r="A76" s="7"/>
      <c r="B76" s="7"/>
      <c r="C76" s="8" t="str">
        <f>IF($A76="","",SUMIFS(GL_Data[Amount_USD],GL_Data[GL_Category],$A76,GL_Data[Account],$B76,GL_Data[MonthStart],DATE(2025,11,1)))</f>
        <v/>
      </c>
      <c r="D76" s="8" t="str">
        <f>IF($A76="","",SUMIFS(GL_Data[Amount_USD],GL_Data[GL_Category],$A76,GL_Data[Account],$B76,GL_Data[MonthStart],DATE(2025,12,1)))</f>
        <v/>
      </c>
      <c r="E76" s="9" t="str">
        <f t="shared" si="2"/>
        <v/>
      </c>
    </row>
    <row r="77" spans="1:5" x14ac:dyDescent="0.3">
      <c r="A77" s="7"/>
      <c r="B77" s="7"/>
      <c r="C77" s="8" t="str">
        <f>IF($A77="","",SUMIFS(GL_Data[Amount_USD],GL_Data[GL_Category],$A77,GL_Data[Account],$B77,GL_Data[MonthStart],DATE(2025,11,1)))</f>
        <v/>
      </c>
      <c r="D77" s="8" t="str">
        <f>IF($A77="","",SUMIFS(GL_Data[Amount_USD],GL_Data[GL_Category],$A77,GL_Data[Account],$B77,GL_Data[MonthStart],DATE(2025,12,1)))</f>
        <v/>
      </c>
      <c r="E77" s="9" t="str">
        <f t="shared" si="2"/>
        <v/>
      </c>
    </row>
    <row r="78" spans="1:5" x14ac:dyDescent="0.3">
      <c r="A78" s="7"/>
      <c r="B78" s="7"/>
      <c r="C78" s="8" t="str">
        <f>IF($A78="","",SUMIFS(GL_Data[Amount_USD],GL_Data[GL_Category],$A78,GL_Data[Account],$B78,GL_Data[MonthStart],DATE(2025,11,1)))</f>
        <v/>
      </c>
      <c r="D78" s="8" t="str">
        <f>IF($A78="","",SUMIFS(GL_Data[Amount_USD],GL_Data[GL_Category],$A78,GL_Data[Account],$B78,GL_Data[MonthStart],DATE(2025,12,1)))</f>
        <v/>
      </c>
      <c r="E78" s="9" t="str">
        <f t="shared" si="2"/>
        <v/>
      </c>
    </row>
    <row r="79" spans="1:5" x14ac:dyDescent="0.3">
      <c r="A79" s="7"/>
      <c r="B79" s="7"/>
      <c r="C79" s="8" t="str">
        <f>IF($A79="","",SUMIFS(GL_Data[Amount_USD],GL_Data[GL_Category],$A79,GL_Data[Account],$B79,GL_Data[MonthStart],DATE(2025,11,1)))</f>
        <v/>
      </c>
      <c r="D79" s="8" t="str">
        <f>IF($A79="","",SUMIFS(GL_Data[Amount_USD],GL_Data[GL_Category],$A79,GL_Data[Account],$B79,GL_Data[MonthStart],DATE(2025,12,1)))</f>
        <v/>
      </c>
      <c r="E79" s="9" t="str">
        <f t="shared" si="2"/>
        <v/>
      </c>
    </row>
    <row r="80" spans="1:5" x14ac:dyDescent="0.3">
      <c r="A80" s="7"/>
      <c r="B80" s="7"/>
      <c r="C80" s="8" t="str">
        <f>IF($A80="","",SUMIFS(GL_Data[Amount_USD],GL_Data[GL_Category],$A80,GL_Data[Account],$B80,GL_Data[MonthStart],DATE(2025,11,1)))</f>
        <v/>
      </c>
      <c r="D80" s="8" t="str">
        <f>IF($A80="","",SUMIFS(GL_Data[Amount_USD],GL_Data[GL_Category],$A80,GL_Data[Account],$B80,GL_Data[MonthStart],DATE(2025,12,1)))</f>
        <v/>
      </c>
      <c r="E80" s="9" t="str">
        <f t="shared" si="2"/>
        <v/>
      </c>
    </row>
    <row r="81" spans="1:5" x14ac:dyDescent="0.3">
      <c r="A81" s="7"/>
      <c r="B81" s="7"/>
      <c r="C81" s="8" t="str">
        <f>IF($A81="","",SUMIFS(GL_Data[Amount_USD],GL_Data[GL_Category],$A81,GL_Data[Account],$B81,GL_Data[MonthStart],DATE(2025,11,1)))</f>
        <v/>
      </c>
      <c r="D81" s="8" t="str">
        <f>IF($A81="","",SUMIFS(GL_Data[Amount_USD],GL_Data[GL_Category],$A81,GL_Data[Account],$B81,GL_Data[MonthStart],DATE(2025,12,1)))</f>
        <v/>
      </c>
      <c r="E81" s="9" t="str">
        <f t="shared" si="2"/>
        <v/>
      </c>
    </row>
    <row r="82" spans="1:5" x14ac:dyDescent="0.3">
      <c r="A82" s="7"/>
      <c r="B82" s="7"/>
      <c r="C82" s="8" t="str">
        <f>IF($A82="","",SUMIFS(GL_Data[Amount_USD],GL_Data[GL_Category],$A82,GL_Data[Account],$B82,GL_Data[MonthStart],DATE(2025,11,1)))</f>
        <v/>
      </c>
      <c r="D82" s="8" t="str">
        <f>IF($A82="","",SUMIFS(GL_Data[Amount_USD],GL_Data[GL_Category],$A82,GL_Data[Account],$B82,GL_Data[MonthStart],DATE(2025,12,1)))</f>
        <v/>
      </c>
      <c r="E82" s="9" t="str">
        <f t="shared" si="2"/>
        <v/>
      </c>
    </row>
    <row r="83" spans="1:5" x14ac:dyDescent="0.3">
      <c r="A83" s="7"/>
      <c r="B83" s="7"/>
      <c r="C83" s="8" t="str">
        <f>IF($A83="","",SUMIFS(GL_Data[Amount_USD],GL_Data[GL_Category],$A83,GL_Data[Account],$B83,GL_Data[MonthStart],DATE(2025,11,1)))</f>
        <v/>
      </c>
      <c r="D83" s="8" t="str">
        <f>IF($A83="","",SUMIFS(GL_Data[Amount_USD],GL_Data[GL_Category],$A83,GL_Data[Account],$B83,GL_Data[MonthStart],DATE(2025,12,1)))</f>
        <v/>
      </c>
      <c r="E83" s="9" t="str">
        <f t="shared" si="2"/>
        <v/>
      </c>
    </row>
    <row r="84" spans="1:5" x14ac:dyDescent="0.3">
      <c r="A84" s="7"/>
      <c r="B84" s="7"/>
      <c r="C84" s="8" t="str">
        <f>IF($A84="","",SUMIFS(GL_Data[Amount_USD],GL_Data[GL_Category],$A84,GL_Data[Account],$B84,GL_Data[MonthStart],DATE(2025,11,1)))</f>
        <v/>
      </c>
      <c r="D84" s="8" t="str">
        <f>IF($A84="","",SUMIFS(GL_Data[Amount_USD],GL_Data[GL_Category],$A84,GL_Data[Account],$B84,GL_Data[MonthStart],DATE(2025,12,1)))</f>
        <v/>
      </c>
      <c r="E84" s="9" t="str">
        <f t="shared" si="2"/>
        <v/>
      </c>
    </row>
    <row r="85" spans="1:5" x14ac:dyDescent="0.3">
      <c r="A85" s="7"/>
      <c r="B85" s="7"/>
      <c r="C85" s="8" t="str">
        <f>IF($A85="","",SUMIFS(GL_Data[Amount_USD],GL_Data[GL_Category],$A85,GL_Data[Account],$B85,GL_Data[MonthStart],DATE(2025,11,1)))</f>
        <v/>
      </c>
      <c r="D85" s="8" t="str">
        <f>IF($A85="","",SUMIFS(GL_Data[Amount_USD],GL_Data[GL_Category],$A85,GL_Data[Account],$B85,GL_Data[MonthStart],DATE(2025,12,1)))</f>
        <v/>
      </c>
      <c r="E85" s="9" t="str">
        <f t="shared" si="2"/>
        <v/>
      </c>
    </row>
    <row r="86" spans="1:5" x14ac:dyDescent="0.3">
      <c r="A86" s="7"/>
      <c r="B86" s="7"/>
      <c r="C86" s="8" t="str">
        <f>IF($A86="","",SUMIFS(GL_Data[Amount_USD],GL_Data[GL_Category],$A86,GL_Data[Account],$B86,GL_Data[MonthStart],DATE(2025,11,1)))</f>
        <v/>
      </c>
      <c r="D86" s="8" t="str">
        <f>IF($A86="","",SUMIFS(GL_Data[Amount_USD],GL_Data[GL_Category],$A86,GL_Data[Account],$B86,GL_Data[MonthStart],DATE(2025,12,1)))</f>
        <v/>
      </c>
      <c r="E86" s="9" t="str">
        <f t="shared" si="2"/>
        <v/>
      </c>
    </row>
    <row r="87" spans="1:5" x14ac:dyDescent="0.3">
      <c r="A87" s="7"/>
      <c r="B87" s="7"/>
      <c r="C87" s="8" t="str">
        <f>IF($A87="","",SUMIFS(GL_Data[Amount_USD],GL_Data[GL_Category],$A87,GL_Data[Account],$B87,GL_Data[MonthStart],DATE(2025,11,1)))</f>
        <v/>
      </c>
      <c r="D87" s="8" t="str">
        <f>IF($A87="","",SUMIFS(GL_Data[Amount_USD],GL_Data[GL_Category],$A87,GL_Data[Account],$B87,GL_Data[MonthStart],DATE(2025,12,1)))</f>
        <v/>
      </c>
      <c r="E87" s="9" t="str">
        <f t="shared" si="2"/>
        <v/>
      </c>
    </row>
    <row r="88" spans="1:5" x14ac:dyDescent="0.3">
      <c r="A88" s="7"/>
      <c r="B88" s="7"/>
      <c r="C88" s="8" t="str">
        <f>IF($A88="","",SUMIFS(GL_Data[Amount_USD],GL_Data[GL_Category],$A88,GL_Data[Account],$B88,GL_Data[MonthStart],DATE(2025,11,1)))</f>
        <v/>
      </c>
      <c r="D88" s="8" t="str">
        <f>IF($A88="","",SUMIFS(GL_Data[Amount_USD],GL_Data[GL_Category],$A88,GL_Data[Account],$B88,GL_Data[MonthStart],DATE(2025,12,1)))</f>
        <v/>
      </c>
      <c r="E88" s="9" t="str">
        <f t="shared" si="2"/>
        <v/>
      </c>
    </row>
    <row r="89" spans="1:5" x14ac:dyDescent="0.3">
      <c r="A89" s="7"/>
      <c r="B89" s="7"/>
      <c r="C89" s="8" t="str">
        <f>IF($A89="","",SUMIFS(GL_Data[Amount_USD],GL_Data[GL_Category],$A89,GL_Data[Account],$B89,GL_Data[MonthStart],DATE(2025,11,1)))</f>
        <v/>
      </c>
      <c r="D89" s="8" t="str">
        <f>IF($A89="","",SUMIFS(GL_Data[Amount_USD],GL_Data[GL_Category],$A89,GL_Data[Account],$B89,GL_Data[MonthStart],DATE(2025,12,1)))</f>
        <v/>
      </c>
      <c r="E89" s="9" t="str">
        <f t="shared" si="2"/>
        <v/>
      </c>
    </row>
    <row r="90" spans="1:5" x14ac:dyDescent="0.3">
      <c r="A90" s="7"/>
      <c r="B90" s="7"/>
      <c r="C90" s="8" t="str">
        <f>IF($A90="","",SUMIFS(GL_Data[Amount_USD],GL_Data[GL_Category],$A90,GL_Data[Account],$B90,GL_Data[MonthStart],DATE(2025,11,1)))</f>
        <v/>
      </c>
      <c r="D90" s="8" t="str">
        <f>IF($A90="","",SUMIFS(GL_Data[Amount_USD],GL_Data[GL_Category],$A90,GL_Data[Account],$B90,GL_Data[MonthStart],DATE(2025,12,1)))</f>
        <v/>
      </c>
      <c r="E90" s="9" t="str">
        <f t="shared" si="2"/>
        <v/>
      </c>
    </row>
    <row r="91" spans="1:5" x14ac:dyDescent="0.3">
      <c r="A91" s="7"/>
      <c r="B91" s="7"/>
      <c r="C91" s="8" t="str">
        <f>IF($A91="","",SUMIFS(GL_Data[Amount_USD],GL_Data[GL_Category],$A91,GL_Data[Account],$B91,GL_Data[MonthStart],DATE(2025,11,1)))</f>
        <v/>
      </c>
      <c r="D91" s="8" t="str">
        <f>IF($A91="","",SUMIFS(GL_Data[Amount_USD],GL_Data[GL_Category],$A91,GL_Data[Account],$B91,GL_Data[MonthStart],DATE(2025,12,1)))</f>
        <v/>
      </c>
      <c r="E91" s="9" t="str">
        <f t="shared" si="2"/>
        <v/>
      </c>
    </row>
    <row r="92" spans="1:5" x14ac:dyDescent="0.3">
      <c r="A92" s="7"/>
      <c r="B92" s="7"/>
      <c r="C92" s="8" t="str">
        <f>IF($A92="","",SUMIFS(GL_Data[Amount_USD],GL_Data[GL_Category],$A92,GL_Data[Account],$B92,GL_Data[MonthStart],DATE(2025,11,1)))</f>
        <v/>
      </c>
      <c r="D92" s="8" t="str">
        <f>IF($A92="","",SUMIFS(GL_Data[Amount_USD],GL_Data[GL_Category],$A92,GL_Data[Account],$B92,GL_Data[MonthStart],DATE(2025,12,1)))</f>
        <v/>
      </c>
      <c r="E92" s="9" t="str">
        <f t="shared" si="2"/>
        <v/>
      </c>
    </row>
    <row r="93" spans="1:5" x14ac:dyDescent="0.3">
      <c r="A93" s="7"/>
      <c r="B93" s="7"/>
      <c r="C93" s="8" t="str">
        <f>IF($A93="","",SUMIFS(GL_Data[Amount_USD],GL_Data[GL_Category],$A93,GL_Data[Account],$B93,GL_Data[MonthStart],DATE(2025,11,1)))</f>
        <v/>
      </c>
      <c r="D93" s="8" t="str">
        <f>IF($A93="","",SUMIFS(GL_Data[Amount_USD],GL_Data[GL_Category],$A93,GL_Data[Account],$B93,GL_Data[MonthStart],DATE(2025,12,1)))</f>
        <v/>
      </c>
      <c r="E93" s="9" t="str">
        <f t="shared" si="2"/>
        <v/>
      </c>
    </row>
    <row r="94" spans="1:5" x14ac:dyDescent="0.3">
      <c r="A94" s="7"/>
      <c r="B94" s="7"/>
      <c r="C94" s="8" t="str">
        <f>IF($A94="","",SUMIFS(GL_Data[Amount_USD],GL_Data[GL_Category],$A94,GL_Data[Account],$B94,GL_Data[MonthStart],DATE(2025,11,1)))</f>
        <v/>
      </c>
      <c r="D94" s="8" t="str">
        <f>IF($A94="","",SUMIFS(GL_Data[Amount_USD],GL_Data[GL_Category],$A94,GL_Data[Account],$B94,GL_Data[MonthStart],DATE(2025,12,1)))</f>
        <v/>
      </c>
      <c r="E94" s="9" t="str">
        <f t="shared" si="2"/>
        <v/>
      </c>
    </row>
    <row r="95" spans="1:5" x14ac:dyDescent="0.3">
      <c r="A95" s="7"/>
      <c r="B95" s="7"/>
      <c r="C95" s="8" t="str">
        <f>IF($A95="","",SUMIFS(GL_Data[Amount_USD],GL_Data[GL_Category],$A95,GL_Data[Account],$B95,GL_Data[MonthStart],DATE(2025,11,1)))</f>
        <v/>
      </c>
      <c r="D95" s="8" t="str">
        <f>IF($A95="","",SUMIFS(GL_Data[Amount_USD],GL_Data[GL_Category],$A95,GL_Data[Account],$B95,GL_Data[MonthStart],DATE(2025,12,1)))</f>
        <v/>
      </c>
      <c r="E95" s="9" t="str">
        <f t="shared" si="2"/>
        <v/>
      </c>
    </row>
    <row r="96" spans="1:5" x14ac:dyDescent="0.3">
      <c r="A96" s="7"/>
      <c r="B96" s="7"/>
      <c r="C96" s="8" t="str">
        <f>IF($A96="","",SUMIFS(GL_Data[Amount_USD],GL_Data[GL_Category],$A96,GL_Data[Account],$B96,GL_Data[MonthStart],DATE(2025,11,1)))</f>
        <v/>
      </c>
      <c r="D96" s="8" t="str">
        <f>IF($A96="","",SUMIFS(GL_Data[Amount_USD],GL_Data[GL_Category],$A96,GL_Data[Account],$B96,GL_Data[MonthStart],DATE(2025,12,1)))</f>
        <v/>
      </c>
      <c r="E96" s="9" t="str">
        <f t="shared" si="2"/>
        <v/>
      </c>
    </row>
    <row r="97" spans="1:5" x14ac:dyDescent="0.3">
      <c r="A97" s="7"/>
      <c r="B97" s="7"/>
      <c r="C97" s="8" t="str">
        <f>IF($A97="","",SUMIFS(GL_Data[Amount_USD],GL_Data[GL_Category],$A97,GL_Data[Account],$B97,GL_Data[MonthStart],DATE(2025,11,1)))</f>
        <v/>
      </c>
      <c r="D97" s="8" t="str">
        <f>IF($A97="","",SUMIFS(GL_Data[Amount_USD],GL_Data[GL_Category],$A97,GL_Data[Account],$B97,GL_Data[MonthStart],DATE(2025,12,1)))</f>
        <v/>
      </c>
      <c r="E97" s="9" t="str">
        <f t="shared" si="2"/>
        <v/>
      </c>
    </row>
    <row r="98" spans="1:5" x14ac:dyDescent="0.3">
      <c r="A98" s="7"/>
      <c r="B98" s="7"/>
      <c r="C98" s="8" t="str">
        <f>IF($A98="","",SUMIFS(GL_Data[Amount_USD],GL_Data[GL_Category],$A98,GL_Data[Account],$B98,GL_Data[MonthStart],DATE(2025,11,1)))</f>
        <v/>
      </c>
      <c r="D98" s="8" t="str">
        <f>IF($A98="","",SUMIFS(GL_Data[Amount_USD],GL_Data[GL_Category],$A98,GL_Data[Account],$B98,GL_Data[MonthStart],DATE(2025,12,1)))</f>
        <v/>
      </c>
      <c r="E98" s="9" t="str">
        <f t="shared" si="2"/>
        <v/>
      </c>
    </row>
    <row r="99" spans="1:5" x14ac:dyDescent="0.3">
      <c r="A99" s="7"/>
      <c r="B99" s="7"/>
      <c r="C99" s="8" t="str">
        <f>IF($A99="","",SUMIFS(GL_Data[Amount_USD],GL_Data[GL_Category],$A99,GL_Data[Account],$B99,GL_Data[MonthStart],DATE(2025,11,1)))</f>
        <v/>
      </c>
      <c r="D99" s="8" t="str">
        <f>IF($A99="","",SUMIFS(GL_Data[Amount_USD],GL_Data[GL_Category],$A99,GL_Data[Account],$B99,GL_Data[MonthStart],DATE(2025,12,1)))</f>
        <v/>
      </c>
      <c r="E99" s="9" t="str">
        <f t="shared" si="2"/>
        <v/>
      </c>
    </row>
    <row r="100" spans="1:5" x14ac:dyDescent="0.3">
      <c r="A100" s="7"/>
      <c r="B100" s="7"/>
      <c r="C100" s="8" t="str">
        <f>IF($A100="","",SUMIFS(GL_Data[Amount_USD],GL_Data[GL_Category],$A100,GL_Data[Account],$B100,GL_Data[MonthStart],DATE(2025,11,1)))</f>
        <v/>
      </c>
      <c r="D100" s="8" t="str">
        <f>IF($A100="","",SUMIFS(GL_Data[Amount_USD],GL_Data[GL_Category],$A100,GL_Data[Account],$B100,GL_Data[MonthStart],DATE(2025,12,1)))</f>
        <v/>
      </c>
      <c r="E100" s="9" t="str">
        <f t="shared" si="2"/>
        <v/>
      </c>
    </row>
    <row r="101" spans="1:5" x14ac:dyDescent="0.3">
      <c r="A101" s="7"/>
      <c r="B101" s="7"/>
      <c r="C101" s="8" t="str">
        <f>IF($A101="","",SUMIFS(GL_Data[Amount_USD],GL_Data[GL_Category],$A101,GL_Data[Account],$B101,GL_Data[MonthStart],DATE(2025,11,1)))</f>
        <v/>
      </c>
      <c r="D101" s="8" t="str">
        <f>IF($A101="","",SUMIFS(GL_Data[Amount_USD],GL_Data[GL_Category],$A101,GL_Data[Account],$B101,GL_Data[MonthStart],DATE(2025,12,1)))</f>
        <v/>
      </c>
      <c r="E101" s="9" t="str">
        <f t="shared" si="2"/>
        <v/>
      </c>
    </row>
    <row r="102" spans="1:5" x14ac:dyDescent="0.3">
      <c r="A102" s="7"/>
      <c r="B102" s="7"/>
      <c r="C102" s="8" t="str">
        <f>IF($A102="","",SUMIFS(GL_Data[Amount_USD],GL_Data[GL_Category],$A102,GL_Data[Account],$B102,GL_Data[MonthStart],DATE(2025,11,1)))</f>
        <v/>
      </c>
      <c r="D102" s="8" t="str">
        <f>IF($A102="","",SUMIFS(GL_Data[Amount_USD],GL_Data[GL_Category],$A102,GL_Data[Account],$B102,GL_Data[MonthStart],DATE(2025,12,1)))</f>
        <v/>
      </c>
      <c r="E102" s="9" t="str">
        <f t="shared" si="2"/>
        <v/>
      </c>
    </row>
    <row r="103" spans="1:5" x14ac:dyDescent="0.3">
      <c r="A103" s="7"/>
      <c r="B103" s="7"/>
      <c r="C103" s="8" t="str">
        <f>IF($A103="","",SUMIFS(GL_Data[Amount_USD],GL_Data[GL_Category],$A103,GL_Data[Account],$B103,GL_Data[MonthStart],DATE(2025,11,1)))</f>
        <v/>
      </c>
      <c r="D103" s="8" t="str">
        <f>IF($A103="","",SUMIFS(GL_Data[Amount_USD],GL_Data[GL_Category],$A103,GL_Data[Account],$B103,GL_Data[MonthStart],DATE(2025,12,1)))</f>
        <v/>
      </c>
      <c r="E103" s="9" t="str">
        <f t="shared" si="2"/>
        <v/>
      </c>
    </row>
    <row r="104" spans="1:5" x14ac:dyDescent="0.3">
      <c r="A104" s="7"/>
      <c r="B104" s="7"/>
      <c r="C104" s="8" t="str">
        <f>IF($A104="","",SUMIFS(GL_Data[Amount_USD],GL_Data[GL_Category],$A104,GL_Data[Account],$B104,GL_Data[MonthStart],DATE(2025,11,1)))</f>
        <v/>
      </c>
      <c r="D104" s="8" t="str">
        <f>IF($A104="","",SUMIFS(GL_Data[Amount_USD],GL_Data[GL_Category],$A104,GL_Data[Account],$B104,GL_Data[MonthStart],DATE(2025,12,1)))</f>
        <v/>
      </c>
      <c r="E104" s="9" t="str">
        <f t="shared" si="2"/>
        <v/>
      </c>
    </row>
    <row r="105" spans="1:5" x14ac:dyDescent="0.3">
      <c r="A105" s="7"/>
      <c r="B105" s="7"/>
      <c r="C105" s="8" t="str">
        <f>IF($A105="","",SUMIFS(GL_Data[Amount_USD],GL_Data[GL_Category],$A105,GL_Data[Account],$B105,GL_Data[MonthStart],DATE(2025,11,1)))</f>
        <v/>
      </c>
      <c r="D105" s="8" t="str">
        <f>IF($A105="","",SUMIFS(GL_Data[Amount_USD],GL_Data[GL_Category],$A105,GL_Data[Account],$B105,GL_Data[MonthStart],DATE(2025,12,1)))</f>
        <v/>
      </c>
      <c r="E105" s="9" t="str">
        <f t="shared" si="2"/>
        <v/>
      </c>
    </row>
    <row r="106" spans="1:5" x14ac:dyDescent="0.3">
      <c r="A106" s="7"/>
      <c r="B106" s="7"/>
      <c r="C106" s="8" t="str">
        <f>IF($A106="","",SUMIFS(GL_Data[Amount_USD],GL_Data[GL_Category],$A106,GL_Data[Account],$B106,GL_Data[MonthStart],DATE(2025,11,1)))</f>
        <v/>
      </c>
      <c r="D106" s="8" t="str">
        <f>IF($A106="","",SUMIFS(GL_Data[Amount_USD],GL_Data[GL_Category],$A106,GL_Data[Account],$B106,GL_Data[MonthStart],DATE(2025,12,1)))</f>
        <v/>
      </c>
      <c r="E106" s="9" t="str">
        <f t="shared" si="2"/>
        <v/>
      </c>
    </row>
    <row r="107" spans="1:5" x14ac:dyDescent="0.3">
      <c r="A107" s="7"/>
      <c r="B107" s="7"/>
      <c r="C107" s="8" t="str">
        <f>IF($A107="","",SUMIFS(GL_Data[Amount_USD],GL_Data[GL_Category],$A107,GL_Data[Account],$B107,GL_Data[MonthStart],DATE(2025,11,1)))</f>
        <v/>
      </c>
      <c r="D107" s="8" t="str">
        <f>IF($A107="","",SUMIFS(GL_Data[Amount_USD],GL_Data[GL_Category],$A107,GL_Data[Account],$B107,GL_Data[MonthStart],DATE(2025,12,1)))</f>
        <v/>
      </c>
      <c r="E107" s="9" t="str">
        <f t="shared" si="2"/>
        <v/>
      </c>
    </row>
    <row r="108" spans="1:5" x14ac:dyDescent="0.3">
      <c r="A108" s="7"/>
      <c r="B108" s="7"/>
      <c r="C108" s="8" t="str">
        <f>IF($A108="","",SUMIFS(GL_Data[Amount_USD],GL_Data[GL_Category],$A108,GL_Data[Account],$B108,GL_Data[MonthStart],DATE(2025,11,1)))</f>
        <v/>
      </c>
      <c r="D108" s="8" t="str">
        <f>IF($A108="","",SUMIFS(GL_Data[Amount_USD],GL_Data[GL_Category],$A108,GL_Data[Account],$B108,GL_Data[MonthStart],DATE(2025,12,1)))</f>
        <v/>
      </c>
      <c r="E108" s="9" t="str">
        <f t="shared" si="2"/>
        <v/>
      </c>
    </row>
    <row r="109" spans="1:5" x14ac:dyDescent="0.3">
      <c r="A109" s="7"/>
      <c r="B109" s="7"/>
      <c r="C109" s="8" t="str">
        <f>IF($A109="","",SUMIFS(GL_Data[Amount_USD],GL_Data[GL_Category],$A109,GL_Data[Account],$B109,GL_Data[MonthStart],DATE(2025,11,1)))</f>
        <v/>
      </c>
      <c r="D109" s="8" t="str">
        <f>IF($A109="","",SUMIFS(GL_Data[Amount_USD],GL_Data[GL_Category],$A109,GL_Data[Account],$B109,GL_Data[MonthStart],DATE(2025,12,1)))</f>
        <v/>
      </c>
      <c r="E109" s="9" t="str">
        <f t="shared" si="2"/>
        <v/>
      </c>
    </row>
    <row r="110" spans="1:5" x14ac:dyDescent="0.3">
      <c r="A110" s="7"/>
      <c r="B110" s="7"/>
      <c r="C110" s="8" t="str">
        <f>IF($A110="","",SUMIFS(GL_Data[Amount_USD],GL_Data[GL_Category],$A110,GL_Data[Account],$B110,GL_Data[MonthStart],DATE(2025,11,1)))</f>
        <v/>
      </c>
      <c r="D110" s="8" t="str">
        <f>IF($A110="","",SUMIFS(GL_Data[Amount_USD],GL_Data[GL_Category],$A110,GL_Data[Account],$B110,GL_Data[MonthStart],DATE(2025,12,1)))</f>
        <v/>
      </c>
      <c r="E110" s="9" t="str">
        <f t="shared" si="2"/>
        <v/>
      </c>
    </row>
    <row r="111" spans="1:5" x14ac:dyDescent="0.3">
      <c r="A111" s="7"/>
      <c r="B111" s="7"/>
      <c r="C111" s="8" t="str">
        <f>IF($A111="","",SUMIFS(GL_Data[Amount_USD],GL_Data[GL_Category],$A111,GL_Data[Account],$B111,GL_Data[MonthStart],DATE(2025,11,1)))</f>
        <v/>
      </c>
      <c r="D111" s="8" t="str">
        <f>IF($A111="","",SUMIFS(GL_Data[Amount_USD],GL_Data[GL_Category],$A111,GL_Data[Account],$B111,GL_Data[MonthStart],DATE(2025,12,1)))</f>
        <v/>
      </c>
      <c r="E111" s="9" t="str">
        <f t="shared" si="2"/>
        <v/>
      </c>
    </row>
    <row r="112" spans="1:5" x14ac:dyDescent="0.3">
      <c r="A112" s="7"/>
      <c r="B112" s="7"/>
      <c r="C112" s="8" t="str">
        <f>IF($A112="","",SUMIFS(GL_Data[Amount_USD],GL_Data[GL_Category],$A112,GL_Data[Account],$B112,GL_Data[MonthStart],DATE(2025,11,1)))</f>
        <v/>
      </c>
      <c r="D112" s="8" t="str">
        <f>IF($A112="","",SUMIFS(GL_Data[Amount_USD],GL_Data[GL_Category],$A112,GL_Data[Account],$B112,GL_Data[MonthStart],DATE(2025,12,1)))</f>
        <v/>
      </c>
      <c r="E112" s="9" t="str">
        <f t="shared" si="2"/>
        <v/>
      </c>
    </row>
    <row r="113" spans="1:5" x14ac:dyDescent="0.3">
      <c r="A113" s="7"/>
      <c r="B113" s="7"/>
      <c r="C113" s="8" t="str">
        <f>IF($A113="","",SUMIFS(GL_Data[Amount_USD],GL_Data[GL_Category],$A113,GL_Data[Account],$B113,GL_Data[MonthStart],DATE(2025,11,1)))</f>
        <v/>
      </c>
      <c r="D113" s="8" t="str">
        <f>IF($A113="","",SUMIFS(GL_Data[Amount_USD],GL_Data[GL_Category],$A113,GL_Data[Account],$B113,GL_Data[MonthStart],DATE(2025,12,1)))</f>
        <v/>
      </c>
      <c r="E113" s="9" t="str">
        <f t="shared" si="2"/>
        <v/>
      </c>
    </row>
    <row r="114" spans="1:5" x14ac:dyDescent="0.3">
      <c r="A114" s="7"/>
      <c r="B114" s="7"/>
      <c r="C114" s="8" t="str">
        <f>IF($A114="","",SUMIFS(GL_Data[Amount_USD],GL_Data[GL_Category],$A114,GL_Data[Account],$B114,GL_Data[MonthStart],DATE(2025,11,1)))</f>
        <v/>
      </c>
      <c r="D114" s="8" t="str">
        <f>IF($A114="","",SUMIFS(GL_Data[Amount_USD],GL_Data[GL_Category],$A114,GL_Data[Account],$B114,GL_Data[MonthStart],DATE(2025,12,1)))</f>
        <v/>
      </c>
      <c r="E114" s="9" t="str">
        <f t="shared" si="2"/>
        <v/>
      </c>
    </row>
    <row r="115" spans="1:5" x14ac:dyDescent="0.3">
      <c r="A115" s="7"/>
      <c r="B115" s="7"/>
      <c r="C115" s="8" t="str">
        <f>IF($A115="","",SUMIFS(GL_Data[Amount_USD],GL_Data[GL_Category],$A115,GL_Data[Account],$B115,GL_Data[MonthStart],DATE(2025,11,1)))</f>
        <v/>
      </c>
      <c r="D115" s="8" t="str">
        <f>IF($A115="","",SUMIFS(GL_Data[Amount_USD],GL_Data[GL_Category],$A115,GL_Data[Account],$B115,GL_Data[MonthStart],DATE(2025,12,1)))</f>
        <v/>
      </c>
      <c r="E115" s="9" t="str">
        <f t="shared" si="2"/>
        <v/>
      </c>
    </row>
    <row r="116" spans="1:5" x14ac:dyDescent="0.3">
      <c r="A116" s="7"/>
      <c r="B116" s="7"/>
      <c r="C116" s="8" t="str">
        <f>IF($A116="","",SUMIFS(GL_Data[Amount_USD],GL_Data[GL_Category],$A116,GL_Data[Account],$B116,GL_Data[MonthStart],DATE(2025,11,1)))</f>
        <v/>
      </c>
      <c r="D116" s="8" t="str">
        <f>IF($A116="","",SUMIFS(GL_Data[Amount_USD],GL_Data[GL_Category],$A116,GL_Data[Account],$B116,GL_Data[MonthStart],DATE(2025,12,1)))</f>
        <v/>
      </c>
      <c r="E116" s="9" t="str">
        <f t="shared" si="2"/>
        <v/>
      </c>
    </row>
    <row r="117" spans="1:5" x14ac:dyDescent="0.3">
      <c r="A117" s="7"/>
      <c r="B117" s="7"/>
      <c r="C117" s="8" t="str">
        <f>IF($A117="","",SUMIFS(GL_Data[Amount_USD],GL_Data[GL_Category],$A117,GL_Data[Account],$B117,GL_Data[MonthStart],DATE(2025,11,1)))</f>
        <v/>
      </c>
      <c r="D117" s="8" t="str">
        <f>IF($A117="","",SUMIFS(GL_Data[Amount_USD],GL_Data[GL_Category],$A117,GL_Data[Account],$B117,GL_Data[MonthStart],DATE(2025,12,1)))</f>
        <v/>
      </c>
      <c r="E117" s="9" t="str">
        <f t="shared" si="2"/>
        <v/>
      </c>
    </row>
    <row r="118" spans="1:5" x14ac:dyDescent="0.3">
      <c r="A118" s="7"/>
      <c r="B118" s="7"/>
      <c r="C118" s="8" t="str">
        <f>IF($A118="","",SUMIFS(GL_Data[Amount_USD],GL_Data[GL_Category],$A118,GL_Data[Account],$B118,GL_Data[MonthStart],DATE(2025,11,1)))</f>
        <v/>
      </c>
      <c r="D118" s="8" t="str">
        <f>IF($A118="","",SUMIFS(GL_Data[Amount_USD],GL_Data[GL_Category],$A118,GL_Data[Account],$B118,GL_Data[MonthStart],DATE(2025,12,1)))</f>
        <v/>
      </c>
      <c r="E118" s="9" t="str">
        <f t="shared" si="2"/>
        <v/>
      </c>
    </row>
    <row r="119" spans="1:5" x14ac:dyDescent="0.3">
      <c r="A119" s="7"/>
      <c r="B119" s="7"/>
      <c r="C119" s="8" t="str">
        <f>IF($A119="","",SUMIFS(GL_Data[Amount_USD],GL_Data[GL_Category],$A119,GL_Data[Account],$B119,GL_Data[MonthStart],DATE(2025,11,1)))</f>
        <v/>
      </c>
      <c r="D119" s="8" t="str">
        <f>IF($A119="","",SUMIFS(GL_Data[Amount_USD],GL_Data[GL_Category],$A119,GL_Data[Account],$B119,GL_Data[MonthStart],DATE(2025,12,1)))</f>
        <v/>
      </c>
      <c r="E119" s="9" t="str">
        <f t="shared" si="2"/>
        <v/>
      </c>
    </row>
    <row r="120" spans="1:5" x14ac:dyDescent="0.3">
      <c r="A120" s="7"/>
      <c r="B120" s="7"/>
      <c r="C120" s="8" t="str">
        <f>IF($A120="","",SUMIFS(GL_Data[Amount_USD],GL_Data[GL_Category],$A120,GL_Data[Account],$B120,GL_Data[MonthStart],DATE(2025,11,1)))</f>
        <v/>
      </c>
      <c r="D120" s="8" t="str">
        <f>IF($A120="","",SUMIFS(GL_Data[Amount_USD],GL_Data[GL_Category],$A120,GL_Data[Account],$B120,GL_Data[MonthStart],DATE(2025,12,1)))</f>
        <v/>
      </c>
      <c r="E120" s="9" t="str">
        <f t="shared" si="2"/>
        <v/>
      </c>
    </row>
    <row r="121" spans="1:5" x14ac:dyDescent="0.3">
      <c r="A121" s="7"/>
      <c r="B121" s="7"/>
      <c r="C121" s="8" t="str">
        <f>IF($A121="","",SUMIFS(GL_Data[Amount_USD],GL_Data[GL_Category],$A121,GL_Data[Account],$B121,GL_Data[MonthStart],DATE(2025,11,1)))</f>
        <v/>
      </c>
      <c r="D121" s="8" t="str">
        <f>IF($A121="","",SUMIFS(GL_Data[Amount_USD],GL_Data[GL_Category],$A121,GL_Data[Account],$B121,GL_Data[MonthStart],DATE(2025,12,1)))</f>
        <v/>
      </c>
      <c r="E121" s="9" t="str">
        <f t="shared" si="2"/>
        <v/>
      </c>
    </row>
    <row r="122" spans="1:5" x14ac:dyDescent="0.3">
      <c r="A122" s="7"/>
      <c r="B122" s="7"/>
      <c r="C122" s="8" t="str">
        <f>IF($A122="","",SUMIFS(GL_Data[Amount_USD],GL_Data[GL_Category],$A122,GL_Data[Account],$B122,GL_Data[MonthStart],DATE(2025,11,1)))</f>
        <v/>
      </c>
      <c r="D122" s="8" t="str">
        <f>IF($A122="","",SUMIFS(GL_Data[Amount_USD],GL_Data[GL_Category],$A122,GL_Data[Account],$B122,GL_Data[MonthStart],DATE(2025,12,1)))</f>
        <v/>
      </c>
      <c r="E122" s="9" t="str">
        <f t="shared" si="2"/>
        <v/>
      </c>
    </row>
    <row r="123" spans="1:5" x14ac:dyDescent="0.3">
      <c r="A123" s="7"/>
      <c r="B123" s="7"/>
      <c r="C123" s="8" t="str">
        <f>IF($A123="","",SUMIFS(GL_Data[Amount_USD],GL_Data[GL_Category],$A123,GL_Data[Account],$B123,GL_Data[MonthStart],DATE(2025,11,1)))</f>
        <v/>
      </c>
      <c r="D123" s="8" t="str">
        <f>IF($A123="","",SUMIFS(GL_Data[Amount_USD],GL_Data[GL_Category],$A123,GL_Data[Account],$B123,GL_Data[MonthStart],DATE(2025,12,1)))</f>
        <v/>
      </c>
      <c r="E123" s="9" t="str">
        <f t="shared" si="2"/>
        <v/>
      </c>
    </row>
    <row r="124" spans="1:5" x14ac:dyDescent="0.3">
      <c r="A124" s="7"/>
      <c r="B124" s="7"/>
      <c r="C124" s="8" t="str">
        <f>IF($A124="","",SUMIFS(GL_Data[Amount_USD],GL_Data[GL_Category],$A124,GL_Data[Account],$B124,GL_Data[MonthStart],DATE(2025,11,1)))</f>
        <v/>
      </c>
      <c r="D124" s="8" t="str">
        <f>IF($A124="","",SUMIFS(GL_Data[Amount_USD],GL_Data[GL_Category],$A124,GL_Data[Account],$B124,GL_Data[MonthStart],DATE(2025,12,1)))</f>
        <v/>
      </c>
      <c r="E124" s="9" t="str">
        <f t="shared" si="2"/>
        <v/>
      </c>
    </row>
    <row r="125" spans="1:5" x14ac:dyDescent="0.3">
      <c r="A125" s="7"/>
      <c r="B125" s="7"/>
      <c r="C125" s="8" t="str">
        <f>IF($A125="","",SUMIFS(GL_Data[Amount_USD],GL_Data[GL_Category],$A125,GL_Data[Account],$B125,GL_Data[MonthStart],DATE(2025,11,1)))</f>
        <v/>
      </c>
      <c r="D125" s="8" t="str">
        <f>IF($A125="","",SUMIFS(GL_Data[Amount_USD],GL_Data[GL_Category],$A125,GL_Data[Account],$B125,GL_Data[MonthStart],DATE(2025,12,1)))</f>
        <v/>
      </c>
      <c r="E125" s="9" t="str">
        <f t="shared" si="2"/>
        <v/>
      </c>
    </row>
    <row r="126" spans="1:5" x14ac:dyDescent="0.3">
      <c r="A126" s="7"/>
      <c r="B126" s="7"/>
      <c r="C126" s="8" t="str">
        <f>IF($A126="","",SUMIFS(GL_Data[Amount_USD],GL_Data[GL_Category],$A126,GL_Data[Account],$B126,GL_Data[MonthStart],DATE(2025,11,1)))</f>
        <v/>
      </c>
      <c r="D126" s="8" t="str">
        <f>IF($A126="","",SUMIFS(GL_Data[Amount_USD],GL_Data[GL_Category],$A126,GL_Data[Account],$B126,GL_Data[MonthStart],DATE(2025,12,1)))</f>
        <v/>
      </c>
      <c r="E126" s="9" t="str">
        <f t="shared" si="2"/>
        <v/>
      </c>
    </row>
    <row r="127" spans="1:5" x14ac:dyDescent="0.3">
      <c r="A127" s="7"/>
      <c r="B127" s="7"/>
      <c r="C127" s="8" t="str">
        <f>IF($A127="","",SUMIFS(GL_Data[Amount_USD],GL_Data[GL_Category],$A127,GL_Data[Account],$B127,GL_Data[MonthStart],DATE(2025,11,1)))</f>
        <v/>
      </c>
      <c r="D127" s="8" t="str">
        <f>IF($A127="","",SUMIFS(GL_Data[Amount_USD],GL_Data[GL_Category],$A127,GL_Data[Account],$B127,GL_Data[MonthStart],DATE(2025,12,1)))</f>
        <v/>
      </c>
      <c r="E127" s="9" t="str">
        <f t="shared" si="2"/>
        <v/>
      </c>
    </row>
    <row r="128" spans="1:5" x14ac:dyDescent="0.3">
      <c r="A128" s="7"/>
      <c r="B128" s="7"/>
      <c r="C128" s="8" t="str">
        <f>IF($A128="","",SUMIFS(GL_Data[Amount_USD],GL_Data[GL_Category],$A128,GL_Data[Account],$B128,GL_Data[MonthStart],DATE(2025,11,1)))</f>
        <v/>
      </c>
      <c r="D128" s="8" t="str">
        <f>IF($A128="","",SUMIFS(GL_Data[Amount_USD],GL_Data[GL_Category],$A128,GL_Data[Account],$B128,GL_Data[MonthStart],DATE(2025,12,1)))</f>
        <v/>
      </c>
      <c r="E128" s="9" t="str">
        <f t="shared" si="2"/>
        <v/>
      </c>
    </row>
    <row r="129" spans="1:5" x14ac:dyDescent="0.3">
      <c r="A129" s="7"/>
      <c r="B129" s="7"/>
      <c r="C129" s="8" t="str">
        <f>IF($A129="","",SUMIFS(GL_Data[Amount_USD],GL_Data[GL_Category],$A129,GL_Data[Account],$B129,GL_Data[MonthStart],DATE(2025,11,1)))</f>
        <v/>
      </c>
      <c r="D129" s="8" t="str">
        <f>IF($A129="","",SUMIFS(GL_Data[Amount_USD],GL_Data[GL_Category],$A129,GL_Data[Account],$B129,GL_Data[MonthStart],DATE(2025,12,1)))</f>
        <v/>
      </c>
      <c r="E129" s="9" t="str">
        <f t="shared" si="2"/>
        <v/>
      </c>
    </row>
    <row r="130" spans="1:5" x14ac:dyDescent="0.3">
      <c r="A130" s="7"/>
      <c r="B130" s="7"/>
      <c r="C130" s="8" t="str">
        <f>IF($A130="","",SUMIFS(GL_Data[Amount_USD],GL_Data[GL_Category],$A130,GL_Data[Account],$B130,GL_Data[MonthStart],DATE(2025,11,1)))</f>
        <v/>
      </c>
      <c r="D130" s="8" t="str">
        <f>IF($A130="","",SUMIFS(GL_Data[Amount_USD],GL_Data[GL_Category],$A130,GL_Data[Account],$B130,GL_Data[MonthStart],DATE(2025,12,1)))</f>
        <v/>
      </c>
      <c r="E130" s="9" t="str">
        <f t="shared" si="2"/>
        <v/>
      </c>
    </row>
    <row r="131" spans="1:5" x14ac:dyDescent="0.3">
      <c r="A131" s="7"/>
      <c r="B131" s="7"/>
      <c r="C131" s="8" t="str">
        <f>IF($A131="","",SUMIFS(GL_Data[Amount_USD],GL_Data[GL_Category],$A131,GL_Data[Account],$B131,GL_Data[MonthStart],DATE(2025,11,1)))</f>
        <v/>
      </c>
      <c r="D131" s="8" t="str">
        <f>IF($A131="","",SUMIFS(GL_Data[Amount_USD],GL_Data[GL_Category],$A131,GL_Data[Account],$B131,GL_Data[MonthStart],DATE(2025,12,1)))</f>
        <v/>
      </c>
      <c r="E131" s="9" t="str">
        <f t="shared" si="2"/>
        <v/>
      </c>
    </row>
    <row r="132" spans="1:5" x14ac:dyDescent="0.3">
      <c r="A132" s="7"/>
      <c r="B132" s="7"/>
      <c r="C132" s="8" t="str">
        <f>IF($A132="","",SUMIFS(GL_Data[Amount_USD],GL_Data[GL_Category],$A132,GL_Data[Account],$B132,GL_Data[MonthStart],DATE(2025,11,1)))</f>
        <v/>
      </c>
      <c r="D132" s="8" t="str">
        <f>IF($A132="","",SUMIFS(GL_Data[Amount_USD],GL_Data[GL_Category],$A132,GL_Data[Account],$B132,GL_Data[MonthStart],DATE(2025,12,1)))</f>
        <v/>
      </c>
      <c r="E132" s="9" t="str">
        <f t="shared" si="2"/>
        <v/>
      </c>
    </row>
    <row r="133" spans="1:5" x14ac:dyDescent="0.3">
      <c r="A133" s="7"/>
      <c r="B133" s="7"/>
      <c r="C133" s="8" t="str">
        <f>IF($A133="","",SUMIFS(GL_Data[Amount_USD],GL_Data[GL_Category],$A133,GL_Data[Account],$B133,GL_Data[MonthStart],DATE(2025,11,1)))</f>
        <v/>
      </c>
      <c r="D133" s="8" t="str">
        <f>IF($A133="","",SUMIFS(GL_Data[Amount_USD],GL_Data[GL_Category],$A133,GL_Data[Account],$B133,GL_Data[MonthStart],DATE(2025,12,1)))</f>
        <v/>
      </c>
      <c r="E133" s="9" t="str">
        <f t="shared" ref="E133:E196" si="3">IF($A133="","",IF($C133=0,"",($D133-$C133)/ABS($C133)))</f>
        <v/>
      </c>
    </row>
    <row r="134" spans="1:5" x14ac:dyDescent="0.3">
      <c r="A134" s="7"/>
      <c r="B134" s="7"/>
      <c r="C134" s="8" t="str">
        <f>IF($A134="","",SUMIFS(GL_Data[Amount_USD],GL_Data[GL_Category],$A134,GL_Data[Account],$B134,GL_Data[MonthStart],DATE(2025,11,1)))</f>
        <v/>
      </c>
      <c r="D134" s="8" t="str">
        <f>IF($A134="","",SUMIFS(GL_Data[Amount_USD],GL_Data[GL_Category],$A134,GL_Data[Account],$B134,GL_Data[MonthStart],DATE(2025,12,1)))</f>
        <v/>
      </c>
      <c r="E134" s="9" t="str">
        <f t="shared" si="3"/>
        <v/>
      </c>
    </row>
    <row r="135" spans="1:5" x14ac:dyDescent="0.3">
      <c r="A135" s="7"/>
      <c r="B135" s="7"/>
      <c r="C135" s="8" t="str">
        <f>IF($A135="","",SUMIFS(GL_Data[Amount_USD],GL_Data[GL_Category],$A135,GL_Data[Account],$B135,GL_Data[MonthStart],DATE(2025,11,1)))</f>
        <v/>
      </c>
      <c r="D135" s="8" t="str">
        <f>IF($A135="","",SUMIFS(GL_Data[Amount_USD],GL_Data[GL_Category],$A135,GL_Data[Account],$B135,GL_Data[MonthStart],DATE(2025,12,1)))</f>
        <v/>
      </c>
      <c r="E135" s="9" t="str">
        <f t="shared" si="3"/>
        <v/>
      </c>
    </row>
    <row r="136" spans="1:5" x14ac:dyDescent="0.3">
      <c r="A136" s="7"/>
      <c r="B136" s="7"/>
      <c r="C136" s="8" t="str">
        <f>IF($A136="","",SUMIFS(GL_Data[Amount_USD],GL_Data[GL_Category],$A136,GL_Data[Account],$B136,GL_Data[MonthStart],DATE(2025,11,1)))</f>
        <v/>
      </c>
      <c r="D136" s="8" t="str">
        <f>IF($A136="","",SUMIFS(GL_Data[Amount_USD],GL_Data[GL_Category],$A136,GL_Data[Account],$B136,GL_Data[MonthStart],DATE(2025,12,1)))</f>
        <v/>
      </c>
      <c r="E136" s="9" t="str">
        <f t="shared" si="3"/>
        <v/>
      </c>
    </row>
    <row r="137" spans="1:5" x14ac:dyDescent="0.3">
      <c r="A137" s="7"/>
      <c r="B137" s="7"/>
      <c r="C137" s="8" t="str">
        <f>IF($A137="","",SUMIFS(GL_Data[Amount_USD],GL_Data[GL_Category],$A137,GL_Data[Account],$B137,GL_Data[MonthStart],DATE(2025,11,1)))</f>
        <v/>
      </c>
      <c r="D137" s="8" t="str">
        <f>IF($A137="","",SUMIFS(GL_Data[Amount_USD],GL_Data[GL_Category],$A137,GL_Data[Account],$B137,GL_Data[MonthStart],DATE(2025,12,1)))</f>
        <v/>
      </c>
      <c r="E137" s="9" t="str">
        <f t="shared" si="3"/>
        <v/>
      </c>
    </row>
    <row r="138" spans="1:5" x14ac:dyDescent="0.3">
      <c r="A138" s="7"/>
      <c r="B138" s="7"/>
      <c r="C138" s="8" t="str">
        <f>IF($A138="","",SUMIFS(GL_Data[Amount_USD],GL_Data[GL_Category],$A138,GL_Data[Account],$B138,GL_Data[MonthStart],DATE(2025,11,1)))</f>
        <v/>
      </c>
      <c r="D138" s="8" t="str">
        <f>IF($A138="","",SUMIFS(GL_Data[Amount_USD],GL_Data[GL_Category],$A138,GL_Data[Account],$B138,GL_Data[MonthStart],DATE(2025,12,1)))</f>
        <v/>
      </c>
      <c r="E138" s="9" t="str">
        <f t="shared" si="3"/>
        <v/>
      </c>
    </row>
    <row r="139" spans="1:5" x14ac:dyDescent="0.3">
      <c r="A139" s="7"/>
      <c r="B139" s="7"/>
      <c r="C139" s="8" t="str">
        <f>IF($A139="","",SUMIFS(GL_Data[Amount_USD],GL_Data[GL_Category],$A139,GL_Data[Account],$B139,GL_Data[MonthStart],DATE(2025,11,1)))</f>
        <v/>
      </c>
      <c r="D139" s="8" t="str">
        <f>IF($A139="","",SUMIFS(GL_Data[Amount_USD],GL_Data[GL_Category],$A139,GL_Data[Account],$B139,GL_Data[MonthStart],DATE(2025,12,1)))</f>
        <v/>
      </c>
      <c r="E139" s="9" t="str">
        <f t="shared" si="3"/>
        <v/>
      </c>
    </row>
    <row r="140" spans="1:5" x14ac:dyDescent="0.3">
      <c r="A140" s="7"/>
      <c r="B140" s="7"/>
      <c r="C140" s="8" t="str">
        <f>IF($A140="","",SUMIFS(GL_Data[Amount_USD],GL_Data[GL_Category],$A140,GL_Data[Account],$B140,GL_Data[MonthStart],DATE(2025,11,1)))</f>
        <v/>
      </c>
      <c r="D140" s="8" t="str">
        <f>IF($A140="","",SUMIFS(GL_Data[Amount_USD],GL_Data[GL_Category],$A140,GL_Data[Account],$B140,GL_Data[MonthStart],DATE(2025,12,1)))</f>
        <v/>
      </c>
      <c r="E140" s="9" t="str">
        <f t="shared" si="3"/>
        <v/>
      </c>
    </row>
    <row r="141" spans="1:5" x14ac:dyDescent="0.3">
      <c r="A141" s="7"/>
      <c r="B141" s="7"/>
      <c r="C141" s="8" t="str">
        <f>IF($A141="","",SUMIFS(GL_Data[Amount_USD],GL_Data[GL_Category],$A141,GL_Data[Account],$B141,GL_Data[MonthStart],DATE(2025,11,1)))</f>
        <v/>
      </c>
      <c r="D141" s="8" t="str">
        <f>IF($A141="","",SUMIFS(GL_Data[Amount_USD],GL_Data[GL_Category],$A141,GL_Data[Account],$B141,GL_Data[MonthStart],DATE(2025,12,1)))</f>
        <v/>
      </c>
      <c r="E141" s="9" t="str">
        <f t="shared" si="3"/>
        <v/>
      </c>
    </row>
    <row r="142" spans="1:5" x14ac:dyDescent="0.3">
      <c r="A142" s="7"/>
      <c r="B142" s="7"/>
      <c r="C142" s="8" t="str">
        <f>IF($A142="","",SUMIFS(GL_Data[Amount_USD],GL_Data[GL_Category],$A142,GL_Data[Account],$B142,GL_Data[MonthStart],DATE(2025,11,1)))</f>
        <v/>
      </c>
      <c r="D142" s="8" t="str">
        <f>IF($A142="","",SUMIFS(GL_Data[Amount_USD],GL_Data[GL_Category],$A142,GL_Data[Account],$B142,GL_Data[MonthStart],DATE(2025,12,1)))</f>
        <v/>
      </c>
      <c r="E142" s="9" t="str">
        <f t="shared" si="3"/>
        <v/>
      </c>
    </row>
    <row r="143" spans="1:5" x14ac:dyDescent="0.3">
      <c r="A143" s="7"/>
      <c r="B143" s="7"/>
      <c r="C143" s="8" t="str">
        <f>IF($A143="","",SUMIFS(GL_Data[Amount_USD],GL_Data[GL_Category],$A143,GL_Data[Account],$B143,GL_Data[MonthStart],DATE(2025,11,1)))</f>
        <v/>
      </c>
      <c r="D143" s="8" t="str">
        <f>IF($A143="","",SUMIFS(GL_Data[Amount_USD],GL_Data[GL_Category],$A143,GL_Data[Account],$B143,GL_Data[MonthStart],DATE(2025,12,1)))</f>
        <v/>
      </c>
      <c r="E143" s="9" t="str">
        <f t="shared" si="3"/>
        <v/>
      </c>
    </row>
    <row r="144" spans="1:5" x14ac:dyDescent="0.3">
      <c r="A144" s="7"/>
      <c r="B144" s="7"/>
      <c r="C144" s="8" t="str">
        <f>IF($A144="","",SUMIFS(GL_Data[Amount_USD],GL_Data[GL_Category],$A144,GL_Data[Account],$B144,GL_Data[MonthStart],DATE(2025,11,1)))</f>
        <v/>
      </c>
      <c r="D144" s="8" t="str">
        <f>IF($A144="","",SUMIFS(GL_Data[Amount_USD],GL_Data[GL_Category],$A144,GL_Data[Account],$B144,GL_Data[MonthStart],DATE(2025,12,1)))</f>
        <v/>
      </c>
      <c r="E144" s="9" t="str">
        <f t="shared" si="3"/>
        <v/>
      </c>
    </row>
    <row r="145" spans="1:5" x14ac:dyDescent="0.3">
      <c r="A145" s="7"/>
      <c r="B145" s="7"/>
      <c r="C145" s="8" t="str">
        <f>IF($A145="","",SUMIFS(GL_Data[Amount_USD],GL_Data[GL_Category],$A145,GL_Data[Account],$B145,GL_Data[MonthStart],DATE(2025,11,1)))</f>
        <v/>
      </c>
      <c r="D145" s="8" t="str">
        <f>IF($A145="","",SUMIFS(GL_Data[Amount_USD],GL_Data[GL_Category],$A145,GL_Data[Account],$B145,GL_Data[MonthStart],DATE(2025,12,1)))</f>
        <v/>
      </c>
      <c r="E145" s="9" t="str">
        <f t="shared" si="3"/>
        <v/>
      </c>
    </row>
    <row r="146" spans="1:5" x14ac:dyDescent="0.3">
      <c r="A146" s="7"/>
      <c r="B146" s="7"/>
      <c r="C146" s="8" t="str">
        <f>IF($A146="","",SUMIFS(GL_Data[Amount_USD],GL_Data[GL_Category],$A146,GL_Data[Account],$B146,GL_Data[MonthStart],DATE(2025,11,1)))</f>
        <v/>
      </c>
      <c r="D146" s="8" t="str">
        <f>IF($A146="","",SUMIFS(GL_Data[Amount_USD],GL_Data[GL_Category],$A146,GL_Data[Account],$B146,GL_Data[MonthStart],DATE(2025,12,1)))</f>
        <v/>
      </c>
      <c r="E146" s="9" t="str">
        <f t="shared" si="3"/>
        <v/>
      </c>
    </row>
    <row r="147" spans="1:5" x14ac:dyDescent="0.3">
      <c r="A147" s="7"/>
      <c r="B147" s="7"/>
      <c r="C147" s="8" t="str">
        <f>IF($A147="","",SUMIFS(GL_Data[Amount_USD],GL_Data[GL_Category],$A147,GL_Data[Account],$B147,GL_Data[MonthStart],DATE(2025,11,1)))</f>
        <v/>
      </c>
      <c r="D147" s="8" t="str">
        <f>IF($A147="","",SUMIFS(GL_Data[Amount_USD],GL_Data[GL_Category],$A147,GL_Data[Account],$B147,GL_Data[MonthStart],DATE(2025,12,1)))</f>
        <v/>
      </c>
      <c r="E147" s="9" t="str">
        <f t="shared" si="3"/>
        <v/>
      </c>
    </row>
    <row r="148" spans="1:5" x14ac:dyDescent="0.3">
      <c r="A148" s="7"/>
      <c r="B148" s="7"/>
      <c r="C148" s="8" t="str">
        <f>IF($A148="","",SUMIFS(GL_Data[Amount_USD],GL_Data[GL_Category],$A148,GL_Data[Account],$B148,GL_Data[MonthStart],DATE(2025,11,1)))</f>
        <v/>
      </c>
      <c r="D148" s="8" t="str">
        <f>IF($A148="","",SUMIFS(GL_Data[Amount_USD],GL_Data[GL_Category],$A148,GL_Data[Account],$B148,GL_Data[MonthStart],DATE(2025,12,1)))</f>
        <v/>
      </c>
      <c r="E148" s="9" t="str">
        <f t="shared" si="3"/>
        <v/>
      </c>
    </row>
    <row r="149" spans="1:5" x14ac:dyDescent="0.3">
      <c r="A149" s="7"/>
      <c r="B149" s="7"/>
      <c r="C149" s="8" t="str">
        <f>IF($A149="","",SUMIFS(GL_Data[Amount_USD],GL_Data[GL_Category],$A149,GL_Data[Account],$B149,GL_Data[MonthStart],DATE(2025,11,1)))</f>
        <v/>
      </c>
      <c r="D149" s="8" t="str">
        <f>IF($A149="","",SUMIFS(GL_Data[Amount_USD],GL_Data[GL_Category],$A149,GL_Data[Account],$B149,GL_Data[MonthStart],DATE(2025,12,1)))</f>
        <v/>
      </c>
      <c r="E149" s="9" t="str">
        <f t="shared" si="3"/>
        <v/>
      </c>
    </row>
    <row r="150" spans="1:5" x14ac:dyDescent="0.3">
      <c r="A150" s="7"/>
      <c r="B150" s="7"/>
      <c r="C150" s="8" t="str">
        <f>IF($A150="","",SUMIFS(GL_Data[Amount_USD],GL_Data[GL_Category],$A150,GL_Data[Account],$B150,GL_Data[MonthStart],DATE(2025,11,1)))</f>
        <v/>
      </c>
      <c r="D150" s="8" t="str">
        <f>IF($A150="","",SUMIFS(GL_Data[Amount_USD],GL_Data[GL_Category],$A150,GL_Data[Account],$B150,GL_Data[MonthStart],DATE(2025,12,1)))</f>
        <v/>
      </c>
      <c r="E150" s="9" t="str">
        <f t="shared" si="3"/>
        <v/>
      </c>
    </row>
    <row r="151" spans="1:5" x14ac:dyDescent="0.3">
      <c r="A151" s="7"/>
      <c r="B151" s="7"/>
      <c r="C151" s="8" t="str">
        <f>IF($A151="","",SUMIFS(GL_Data[Amount_USD],GL_Data[GL_Category],$A151,GL_Data[Account],$B151,GL_Data[MonthStart],DATE(2025,11,1)))</f>
        <v/>
      </c>
      <c r="D151" s="8" t="str">
        <f>IF($A151="","",SUMIFS(GL_Data[Amount_USD],GL_Data[GL_Category],$A151,GL_Data[Account],$B151,GL_Data[MonthStart],DATE(2025,12,1)))</f>
        <v/>
      </c>
      <c r="E151" s="9" t="str">
        <f t="shared" si="3"/>
        <v/>
      </c>
    </row>
    <row r="152" spans="1:5" x14ac:dyDescent="0.3">
      <c r="A152" s="7"/>
      <c r="B152" s="7"/>
      <c r="C152" s="8" t="str">
        <f>IF($A152="","",SUMIFS(GL_Data[Amount_USD],GL_Data[GL_Category],$A152,GL_Data[Account],$B152,GL_Data[MonthStart],DATE(2025,11,1)))</f>
        <v/>
      </c>
      <c r="D152" s="8" t="str">
        <f>IF($A152="","",SUMIFS(GL_Data[Amount_USD],GL_Data[GL_Category],$A152,GL_Data[Account],$B152,GL_Data[MonthStart],DATE(2025,12,1)))</f>
        <v/>
      </c>
      <c r="E152" s="9" t="str">
        <f t="shared" si="3"/>
        <v/>
      </c>
    </row>
    <row r="153" spans="1:5" x14ac:dyDescent="0.3">
      <c r="A153" s="7"/>
      <c r="B153" s="7"/>
      <c r="C153" s="8" t="str">
        <f>IF($A153="","",SUMIFS(GL_Data[Amount_USD],GL_Data[GL_Category],$A153,GL_Data[Account],$B153,GL_Data[MonthStart],DATE(2025,11,1)))</f>
        <v/>
      </c>
      <c r="D153" s="8" t="str">
        <f>IF($A153="","",SUMIFS(GL_Data[Amount_USD],GL_Data[GL_Category],$A153,GL_Data[Account],$B153,GL_Data[MonthStart],DATE(2025,12,1)))</f>
        <v/>
      </c>
      <c r="E153" s="9" t="str">
        <f t="shared" si="3"/>
        <v/>
      </c>
    </row>
    <row r="154" spans="1:5" x14ac:dyDescent="0.3">
      <c r="A154" s="7"/>
      <c r="B154" s="7"/>
      <c r="C154" s="8" t="str">
        <f>IF($A154="","",SUMIFS(GL_Data[Amount_USD],GL_Data[GL_Category],$A154,GL_Data[Account],$B154,GL_Data[MonthStart],DATE(2025,11,1)))</f>
        <v/>
      </c>
      <c r="D154" s="8" t="str">
        <f>IF($A154="","",SUMIFS(GL_Data[Amount_USD],GL_Data[GL_Category],$A154,GL_Data[Account],$B154,GL_Data[MonthStart],DATE(2025,12,1)))</f>
        <v/>
      </c>
      <c r="E154" s="9" t="str">
        <f t="shared" si="3"/>
        <v/>
      </c>
    </row>
    <row r="155" spans="1:5" x14ac:dyDescent="0.3">
      <c r="A155" s="7"/>
      <c r="B155" s="7"/>
      <c r="C155" s="8" t="str">
        <f>IF($A155="","",SUMIFS(GL_Data[Amount_USD],GL_Data[GL_Category],$A155,GL_Data[Account],$B155,GL_Data[MonthStart],DATE(2025,11,1)))</f>
        <v/>
      </c>
      <c r="D155" s="8" t="str">
        <f>IF($A155="","",SUMIFS(GL_Data[Amount_USD],GL_Data[GL_Category],$A155,GL_Data[Account],$B155,GL_Data[MonthStart],DATE(2025,12,1)))</f>
        <v/>
      </c>
      <c r="E155" s="9" t="str">
        <f t="shared" si="3"/>
        <v/>
      </c>
    </row>
    <row r="156" spans="1:5" x14ac:dyDescent="0.3">
      <c r="A156" s="7"/>
      <c r="B156" s="7"/>
      <c r="C156" s="8" t="str">
        <f>IF($A156="","",SUMIFS(GL_Data[Amount_USD],GL_Data[GL_Category],$A156,GL_Data[Account],$B156,GL_Data[MonthStart],DATE(2025,11,1)))</f>
        <v/>
      </c>
      <c r="D156" s="8" t="str">
        <f>IF($A156="","",SUMIFS(GL_Data[Amount_USD],GL_Data[GL_Category],$A156,GL_Data[Account],$B156,GL_Data[MonthStart],DATE(2025,12,1)))</f>
        <v/>
      </c>
      <c r="E156" s="9" t="str">
        <f t="shared" si="3"/>
        <v/>
      </c>
    </row>
    <row r="157" spans="1:5" x14ac:dyDescent="0.3">
      <c r="A157" s="7"/>
      <c r="B157" s="7"/>
      <c r="C157" s="8" t="str">
        <f>IF($A157="","",SUMIFS(GL_Data[Amount_USD],GL_Data[GL_Category],$A157,GL_Data[Account],$B157,GL_Data[MonthStart],DATE(2025,11,1)))</f>
        <v/>
      </c>
      <c r="D157" s="8" t="str">
        <f>IF($A157="","",SUMIFS(GL_Data[Amount_USD],GL_Data[GL_Category],$A157,GL_Data[Account],$B157,GL_Data[MonthStart],DATE(2025,12,1)))</f>
        <v/>
      </c>
      <c r="E157" s="9" t="str">
        <f t="shared" si="3"/>
        <v/>
      </c>
    </row>
    <row r="158" spans="1:5" x14ac:dyDescent="0.3">
      <c r="A158" s="7"/>
      <c r="B158" s="7"/>
      <c r="C158" s="8" t="str">
        <f>IF($A158="","",SUMIFS(GL_Data[Amount_USD],GL_Data[GL_Category],$A158,GL_Data[Account],$B158,GL_Data[MonthStart],DATE(2025,11,1)))</f>
        <v/>
      </c>
      <c r="D158" s="8" t="str">
        <f>IF($A158="","",SUMIFS(GL_Data[Amount_USD],GL_Data[GL_Category],$A158,GL_Data[Account],$B158,GL_Data[MonthStart],DATE(2025,12,1)))</f>
        <v/>
      </c>
      <c r="E158" s="9" t="str">
        <f t="shared" si="3"/>
        <v/>
      </c>
    </row>
    <row r="159" spans="1:5" x14ac:dyDescent="0.3">
      <c r="A159" s="7"/>
      <c r="B159" s="7"/>
      <c r="C159" s="8" t="str">
        <f>IF($A159="","",SUMIFS(GL_Data[Amount_USD],GL_Data[GL_Category],$A159,GL_Data[Account],$B159,GL_Data[MonthStart],DATE(2025,11,1)))</f>
        <v/>
      </c>
      <c r="D159" s="8" t="str">
        <f>IF($A159="","",SUMIFS(GL_Data[Amount_USD],GL_Data[GL_Category],$A159,GL_Data[Account],$B159,GL_Data[MonthStart],DATE(2025,12,1)))</f>
        <v/>
      </c>
      <c r="E159" s="9" t="str">
        <f t="shared" si="3"/>
        <v/>
      </c>
    </row>
    <row r="160" spans="1:5" x14ac:dyDescent="0.3">
      <c r="A160" s="7"/>
      <c r="B160" s="7"/>
      <c r="C160" s="8" t="str">
        <f>IF($A160="","",SUMIFS(GL_Data[Amount_USD],GL_Data[GL_Category],$A160,GL_Data[Account],$B160,GL_Data[MonthStart],DATE(2025,11,1)))</f>
        <v/>
      </c>
      <c r="D160" s="8" t="str">
        <f>IF($A160="","",SUMIFS(GL_Data[Amount_USD],GL_Data[GL_Category],$A160,GL_Data[Account],$B160,GL_Data[MonthStart],DATE(2025,12,1)))</f>
        <v/>
      </c>
      <c r="E160" s="9" t="str">
        <f t="shared" si="3"/>
        <v/>
      </c>
    </row>
    <row r="161" spans="1:5" x14ac:dyDescent="0.3">
      <c r="A161" s="7"/>
      <c r="B161" s="7"/>
      <c r="C161" s="8" t="str">
        <f>IF($A161="","",SUMIFS(GL_Data[Amount_USD],GL_Data[GL_Category],$A161,GL_Data[Account],$B161,GL_Data[MonthStart],DATE(2025,11,1)))</f>
        <v/>
      </c>
      <c r="D161" s="8" t="str">
        <f>IF($A161="","",SUMIFS(GL_Data[Amount_USD],GL_Data[GL_Category],$A161,GL_Data[Account],$B161,GL_Data[MonthStart],DATE(2025,12,1)))</f>
        <v/>
      </c>
      <c r="E161" s="9" t="str">
        <f t="shared" si="3"/>
        <v/>
      </c>
    </row>
    <row r="162" spans="1:5" x14ac:dyDescent="0.3">
      <c r="A162" s="7"/>
      <c r="B162" s="7"/>
      <c r="C162" s="8" t="str">
        <f>IF($A162="","",SUMIFS(GL_Data[Amount_USD],GL_Data[GL_Category],$A162,GL_Data[Account],$B162,GL_Data[MonthStart],DATE(2025,11,1)))</f>
        <v/>
      </c>
      <c r="D162" s="8" t="str">
        <f>IF($A162="","",SUMIFS(GL_Data[Amount_USD],GL_Data[GL_Category],$A162,GL_Data[Account],$B162,GL_Data[MonthStart],DATE(2025,12,1)))</f>
        <v/>
      </c>
      <c r="E162" s="9" t="str">
        <f t="shared" si="3"/>
        <v/>
      </c>
    </row>
    <row r="163" spans="1:5" x14ac:dyDescent="0.3">
      <c r="A163" s="7"/>
      <c r="B163" s="7"/>
      <c r="C163" s="8" t="str">
        <f>IF($A163="","",SUMIFS(GL_Data[Amount_USD],GL_Data[GL_Category],$A163,GL_Data[Account],$B163,GL_Data[MonthStart],DATE(2025,11,1)))</f>
        <v/>
      </c>
      <c r="D163" s="8" t="str">
        <f>IF($A163="","",SUMIFS(GL_Data[Amount_USD],GL_Data[GL_Category],$A163,GL_Data[Account],$B163,GL_Data[MonthStart],DATE(2025,12,1)))</f>
        <v/>
      </c>
      <c r="E163" s="9" t="str">
        <f t="shared" si="3"/>
        <v/>
      </c>
    </row>
    <row r="164" spans="1:5" x14ac:dyDescent="0.3">
      <c r="A164" s="7"/>
      <c r="B164" s="7"/>
      <c r="C164" s="8" t="str">
        <f>IF($A164="","",SUMIFS(GL_Data[Amount_USD],GL_Data[GL_Category],$A164,GL_Data[Account],$B164,GL_Data[MonthStart],DATE(2025,11,1)))</f>
        <v/>
      </c>
      <c r="D164" s="8" t="str">
        <f>IF($A164="","",SUMIFS(GL_Data[Amount_USD],GL_Data[GL_Category],$A164,GL_Data[Account],$B164,GL_Data[MonthStart],DATE(2025,12,1)))</f>
        <v/>
      </c>
      <c r="E164" s="9" t="str">
        <f t="shared" si="3"/>
        <v/>
      </c>
    </row>
    <row r="165" spans="1:5" x14ac:dyDescent="0.3">
      <c r="A165" s="7"/>
      <c r="B165" s="7"/>
      <c r="C165" s="8" t="str">
        <f>IF($A165="","",SUMIFS(GL_Data[Amount_USD],GL_Data[GL_Category],$A165,GL_Data[Account],$B165,GL_Data[MonthStart],DATE(2025,11,1)))</f>
        <v/>
      </c>
      <c r="D165" s="8" t="str">
        <f>IF($A165="","",SUMIFS(GL_Data[Amount_USD],GL_Data[GL_Category],$A165,GL_Data[Account],$B165,GL_Data[MonthStart],DATE(2025,12,1)))</f>
        <v/>
      </c>
      <c r="E165" s="9" t="str">
        <f t="shared" si="3"/>
        <v/>
      </c>
    </row>
    <row r="166" spans="1:5" x14ac:dyDescent="0.3">
      <c r="A166" s="7"/>
      <c r="B166" s="7"/>
      <c r="C166" s="8" t="str">
        <f>IF($A166="","",SUMIFS(GL_Data[Amount_USD],GL_Data[GL_Category],$A166,GL_Data[Account],$B166,GL_Data[MonthStart],DATE(2025,11,1)))</f>
        <v/>
      </c>
      <c r="D166" s="8" t="str">
        <f>IF($A166="","",SUMIFS(GL_Data[Amount_USD],GL_Data[GL_Category],$A166,GL_Data[Account],$B166,GL_Data[MonthStart],DATE(2025,12,1)))</f>
        <v/>
      </c>
      <c r="E166" s="9" t="str">
        <f t="shared" si="3"/>
        <v/>
      </c>
    </row>
    <row r="167" spans="1:5" x14ac:dyDescent="0.3">
      <c r="A167" s="7"/>
      <c r="B167" s="7"/>
      <c r="C167" s="8" t="str">
        <f>IF($A167="","",SUMIFS(GL_Data[Amount_USD],GL_Data[GL_Category],$A167,GL_Data[Account],$B167,GL_Data[MonthStart],DATE(2025,11,1)))</f>
        <v/>
      </c>
      <c r="D167" s="8" t="str">
        <f>IF($A167="","",SUMIFS(GL_Data[Amount_USD],GL_Data[GL_Category],$A167,GL_Data[Account],$B167,GL_Data[MonthStart],DATE(2025,12,1)))</f>
        <v/>
      </c>
      <c r="E167" s="9" t="str">
        <f t="shared" si="3"/>
        <v/>
      </c>
    </row>
    <row r="168" spans="1:5" x14ac:dyDescent="0.3">
      <c r="A168" s="7"/>
      <c r="B168" s="7"/>
      <c r="C168" s="8" t="str">
        <f>IF($A168="","",SUMIFS(GL_Data[Amount_USD],GL_Data[GL_Category],$A168,GL_Data[Account],$B168,GL_Data[MonthStart],DATE(2025,11,1)))</f>
        <v/>
      </c>
      <c r="D168" s="8" t="str">
        <f>IF($A168="","",SUMIFS(GL_Data[Amount_USD],GL_Data[GL_Category],$A168,GL_Data[Account],$B168,GL_Data[MonthStart],DATE(2025,12,1)))</f>
        <v/>
      </c>
      <c r="E168" s="9" t="str">
        <f t="shared" si="3"/>
        <v/>
      </c>
    </row>
    <row r="169" spans="1:5" x14ac:dyDescent="0.3">
      <c r="A169" s="7"/>
      <c r="B169" s="7"/>
      <c r="C169" s="8" t="str">
        <f>IF($A169="","",SUMIFS(GL_Data[Amount_USD],GL_Data[GL_Category],$A169,GL_Data[Account],$B169,GL_Data[MonthStart],DATE(2025,11,1)))</f>
        <v/>
      </c>
      <c r="D169" s="8" t="str">
        <f>IF($A169="","",SUMIFS(GL_Data[Amount_USD],GL_Data[GL_Category],$A169,GL_Data[Account],$B169,GL_Data[MonthStart],DATE(2025,12,1)))</f>
        <v/>
      </c>
      <c r="E169" s="9" t="str">
        <f t="shared" si="3"/>
        <v/>
      </c>
    </row>
    <row r="170" spans="1:5" x14ac:dyDescent="0.3">
      <c r="A170" s="7"/>
      <c r="B170" s="7"/>
      <c r="C170" s="8" t="str">
        <f>IF($A170="","",SUMIFS(GL_Data[Amount_USD],GL_Data[GL_Category],$A170,GL_Data[Account],$B170,GL_Data[MonthStart],DATE(2025,11,1)))</f>
        <v/>
      </c>
      <c r="D170" s="8" t="str">
        <f>IF($A170="","",SUMIFS(GL_Data[Amount_USD],GL_Data[GL_Category],$A170,GL_Data[Account],$B170,GL_Data[MonthStart],DATE(2025,12,1)))</f>
        <v/>
      </c>
      <c r="E170" s="9" t="str">
        <f t="shared" si="3"/>
        <v/>
      </c>
    </row>
    <row r="171" spans="1:5" x14ac:dyDescent="0.3">
      <c r="A171" s="7"/>
      <c r="B171" s="7"/>
      <c r="C171" s="8" t="str">
        <f>IF($A171="","",SUMIFS(GL_Data[Amount_USD],GL_Data[GL_Category],$A171,GL_Data[Account],$B171,GL_Data[MonthStart],DATE(2025,11,1)))</f>
        <v/>
      </c>
      <c r="D171" s="8" t="str">
        <f>IF($A171="","",SUMIFS(GL_Data[Amount_USD],GL_Data[GL_Category],$A171,GL_Data[Account],$B171,GL_Data[MonthStart],DATE(2025,12,1)))</f>
        <v/>
      </c>
      <c r="E171" s="9" t="str">
        <f t="shared" si="3"/>
        <v/>
      </c>
    </row>
    <row r="172" spans="1:5" x14ac:dyDescent="0.3">
      <c r="A172" s="7"/>
      <c r="B172" s="7"/>
      <c r="C172" s="8" t="str">
        <f>IF($A172="","",SUMIFS(GL_Data[Amount_USD],GL_Data[GL_Category],$A172,GL_Data[Account],$B172,GL_Data[MonthStart],DATE(2025,11,1)))</f>
        <v/>
      </c>
      <c r="D172" s="8" t="str">
        <f>IF($A172="","",SUMIFS(GL_Data[Amount_USD],GL_Data[GL_Category],$A172,GL_Data[Account],$B172,GL_Data[MonthStart],DATE(2025,12,1)))</f>
        <v/>
      </c>
      <c r="E172" s="9" t="str">
        <f t="shared" si="3"/>
        <v/>
      </c>
    </row>
    <row r="173" spans="1:5" x14ac:dyDescent="0.3">
      <c r="A173" s="7"/>
      <c r="B173" s="7"/>
      <c r="C173" s="8" t="str">
        <f>IF($A173="","",SUMIFS(GL_Data[Amount_USD],GL_Data[GL_Category],$A173,GL_Data[Account],$B173,GL_Data[MonthStart],DATE(2025,11,1)))</f>
        <v/>
      </c>
      <c r="D173" s="8" t="str">
        <f>IF($A173="","",SUMIFS(GL_Data[Amount_USD],GL_Data[GL_Category],$A173,GL_Data[Account],$B173,GL_Data[MonthStart],DATE(2025,12,1)))</f>
        <v/>
      </c>
      <c r="E173" s="9" t="str">
        <f t="shared" si="3"/>
        <v/>
      </c>
    </row>
    <row r="174" spans="1:5" x14ac:dyDescent="0.3">
      <c r="A174" s="7"/>
      <c r="B174" s="7"/>
      <c r="C174" s="8" t="str">
        <f>IF($A174="","",SUMIFS(GL_Data[Amount_USD],GL_Data[GL_Category],$A174,GL_Data[Account],$B174,GL_Data[MonthStart],DATE(2025,11,1)))</f>
        <v/>
      </c>
      <c r="D174" s="8" t="str">
        <f>IF($A174="","",SUMIFS(GL_Data[Amount_USD],GL_Data[GL_Category],$A174,GL_Data[Account],$B174,GL_Data[MonthStart],DATE(2025,12,1)))</f>
        <v/>
      </c>
      <c r="E174" s="9" t="str">
        <f t="shared" si="3"/>
        <v/>
      </c>
    </row>
    <row r="175" spans="1:5" x14ac:dyDescent="0.3">
      <c r="A175" s="7"/>
      <c r="B175" s="7"/>
      <c r="C175" s="8" t="str">
        <f>IF($A175="","",SUMIFS(GL_Data[Amount_USD],GL_Data[GL_Category],$A175,GL_Data[Account],$B175,GL_Data[MonthStart],DATE(2025,11,1)))</f>
        <v/>
      </c>
      <c r="D175" s="8" t="str">
        <f>IF($A175="","",SUMIFS(GL_Data[Amount_USD],GL_Data[GL_Category],$A175,GL_Data[Account],$B175,GL_Data[MonthStart],DATE(2025,12,1)))</f>
        <v/>
      </c>
      <c r="E175" s="9" t="str">
        <f t="shared" si="3"/>
        <v/>
      </c>
    </row>
    <row r="176" spans="1:5" x14ac:dyDescent="0.3">
      <c r="A176" s="7"/>
      <c r="B176" s="7"/>
      <c r="C176" s="8" t="str">
        <f>IF($A176="","",SUMIFS(GL_Data[Amount_USD],GL_Data[GL_Category],$A176,GL_Data[Account],$B176,GL_Data[MonthStart],DATE(2025,11,1)))</f>
        <v/>
      </c>
      <c r="D176" s="8" t="str">
        <f>IF($A176="","",SUMIFS(GL_Data[Amount_USD],GL_Data[GL_Category],$A176,GL_Data[Account],$B176,GL_Data[MonthStart],DATE(2025,12,1)))</f>
        <v/>
      </c>
      <c r="E176" s="9" t="str">
        <f t="shared" si="3"/>
        <v/>
      </c>
    </row>
    <row r="177" spans="1:5" x14ac:dyDescent="0.3">
      <c r="A177" s="7"/>
      <c r="B177" s="7"/>
      <c r="C177" s="8" t="str">
        <f>IF($A177="","",SUMIFS(GL_Data[Amount_USD],GL_Data[GL_Category],$A177,GL_Data[Account],$B177,GL_Data[MonthStart],DATE(2025,11,1)))</f>
        <v/>
      </c>
      <c r="D177" s="8" t="str">
        <f>IF($A177="","",SUMIFS(GL_Data[Amount_USD],GL_Data[GL_Category],$A177,GL_Data[Account],$B177,GL_Data[MonthStart],DATE(2025,12,1)))</f>
        <v/>
      </c>
      <c r="E177" s="9" t="str">
        <f t="shared" si="3"/>
        <v/>
      </c>
    </row>
    <row r="178" spans="1:5" x14ac:dyDescent="0.3">
      <c r="A178" s="7"/>
      <c r="B178" s="7"/>
      <c r="C178" s="8" t="str">
        <f>IF($A178="","",SUMIFS(GL_Data[Amount_USD],GL_Data[GL_Category],$A178,GL_Data[Account],$B178,GL_Data[MonthStart],DATE(2025,11,1)))</f>
        <v/>
      </c>
      <c r="D178" s="8" t="str">
        <f>IF($A178="","",SUMIFS(GL_Data[Amount_USD],GL_Data[GL_Category],$A178,GL_Data[Account],$B178,GL_Data[MonthStart],DATE(2025,12,1)))</f>
        <v/>
      </c>
      <c r="E178" s="9" t="str">
        <f t="shared" si="3"/>
        <v/>
      </c>
    </row>
    <row r="179" spans="1:5" x14ac:dyDescent="0.3">
      <c r="A179" s="7"/>
      <c r="B179" s="7"/>
      <c r="C179" s="8" t="str">
        <f>IF($A179="","",SUMIFS(GL_Data[Amount_USD],GL_Data[GL_Category],$A179,GL_Data[Account],$B179,GL_Data[MonthStart],DATE(2025,11,1)))</f>
        <v/>
      </c>
      <c r="D179" s="8" t="str">
        <f>IF($A179="","",SUMIFS(GL_Data[Amount_USD],GL_Data[GL_Category],$A179,GL_Data[Account],$B179,GL_Data[MonthStart],DATE(2025,12,1)))</f>
        <v/>
      </c>
      <c r="E179" s="9" t="str">
        <f t="shared" si="3"/>
        <v/>
      </c>
    </row>
    <row r="180" spans="1:5" x14ac:dyDescent="0.3">
      <c r="A180" s="7"/>
      <c r="B180" s="7"/>
      <c r="C180" s="8" t="str">
        <f>IF($A180="","",SUMIFS(GL_Data[Amount_USD],GL_Data[GL_Category],$A180,GL_Data[Account],$B180,GL_Data[MonthStart],DATE(2025,11,1)))</f>
        <v/>
      </c>
      <c r="D180" s="8" t="str">
        <f>IF($A180="","",SUMIFS(GL_Data[Amount_USD],GL_Data[GL_Category],$A180,GL_Data[Account],$B180,GL_Data[MonthStart],DATE(2025,12,1)))</f>
        <v/>
      </c>
      <c r="E180" s="9" t="str">
        <f t="shared" si="3"/>
        <v/>
      </c>
    </row>
    <row r="181" spans="1:5" x14ac:dyDescent="0.3">
      <c r="A181" s="7"/>
      <c r="B181" s="7"/>
      <c r="C181" s="8" t="str">
        <f>IF($A181="","",SUMIFS(GL_Data[Amount_USD],GL_Data[GL_Category],$A181,GL_Data[Account],$B181,GL_Data[MonthStart],DATE(2025,11,1)))</f>
        <v/>
      </c>
      <c r="D181" s="8" t="str">
        <f>IF($A181="","",SUMIFS(GL_Data[Amount_USD],GL_Data[GL_Category],$A181,GL_Data[Account],$B181,GL_Data[MonthStart],DATE(2025,12,1)))</f>
        <v/>
      </c>
      <c r="E181" s="9" t="str">
        <f t="shared" si="3"/>
        <v/>
      </c>
    </row>
    <row r="182" spans="1:5" x14ac:dyDescent="0.3">
      <c r="A182" s="7"/>
      <c r="B182" s="7"/>
      <c r="C182" s="8" t="str">
        <f>IF($A182="","",SUMIFS(GL_Data[Amount_USD],GL_Data[GL_Category],$A182,GL_Data[Account],$B182,GL_Data[MonthStart],DATE(2025,11,1)))</f>
        <v/>
      </c>
      <c r="D182" s="8" t="str">
        <f>IF($A182="","",SUMIFS(GL_Data[Amount_USD],GL_Data[GL_Category],$A182,GL_Data[Account],$B182,GL_Data[MonthStart],DATE(2025,12,1)))</f>
        <v/>
      </c>
      <c r="E182" s="9" t="str">
        <f t="shared" si="3"/>
        <v/>
      </c>
    </row>
    <row r="183" spans="1:5" x14ac:dyDescent="0.3">
      <c r="A183" s="7"/>
      <c r="B183" s="7"/>
      <c r="C183" s="8" t="str">
        <f>IF($A183="","",SUMIFS(GL_Data[Amount_USD],GL_Data[GL_Category],$A183,GL_Data[Account],$B183,GL_Data[MonthStart],DATE(2025,11,1)))</f>
        <v/>
      </c>
      <c r="D183" s="8" t="str">
        <f>IF($A183="","",SUMIFS(GL_Data[Amount_USD],GL_Data[GL_Category],$A183,GL_Data[Account],$B183,GL_Data[MonthStart],DATE(2025,12,1)))</f>
        <v/>
      </c>
      <c r="E183" s="9" t="str">
        <f t="shared" si="3"/>
        <v/>
      </c>
    </row>
    <row r="184" spans="1:5" x14ac:dyDescent="0.3">
      <c r="A184" s="7"/>
      <c r="B184" s="7"/>
      <c r="C184" s="8" t="str">
        <f>IF($A184="","",SUMIFS(GL_Data[Amount_USD],GL_Data[GL_Category],$A184,GL_Data[Account],$B184,GL_Data[MonthStart],DATE(2025,11,1)))</f>
        <v/>
      </c>
      <c r="D184" s="8" t="str">
        <f>IF($A184="","",SUMIFS(GL_Data[Amount_USD],GL_Data[GL_Category],$A184,GL_Data[Account],$B184,GL_Data[MonthStart],DATE(2025,12,1)))</f>
        <v/>
      </c>
      <c r="E184" s="9" t="str">
        <f t="shared" si="3"/>
        <v/>
      </c>
    </row>
    <row r="185" spans="1:5" x14ac:dyDescent="0.3">
      <c r="A185" s="7"/>
      <c r="B185" s="7"/>
      <c r="C185" s="8" t="str">
        <f>IF($A185="","",SUMIFS(GL_Data[Amount_USD],GL_Data[GL_Category],$A185,GL_Data[Account],$B185,GL_Data[MonthStart],DATE(2025,11,1)))</f>
        <v/>
      </c>
      <c r="D185" s="8" t="str">
        <f>IF($A185="","",SUMIFS(GL_Data[Amount_USD],GL_Data[GL_Category],$A185,GL_Data[Account],$B185,GL_Data[MonthStart],DATE(2025,12,1)))</f>
        <v/>
      </c>
      <c r="E185" s="9" t="str">
        <f t="shared" si="3"/>
        <v/>
      </c>
    </row>
    <row r="186" spans="1:5" x14ac:dyDescent="0.3">
      <c r="A186" s="7"/>
      <c r="B186" s="7"/>
      <c r="C186" s="8" t="str">
        <f>IF($A186="","",SUMIFS(GL_Data[Amount_USD],GL_Data[GL_Category],$A186,GL_Data[Account],$B186,GL_Data[MonthStart],DATE(2025,11,1)))</f>
        <v/>
      </c>
      <c r="D186" s="8" t="str">
        <f>IF($A186="","",SUMIFS(GL_Data[Amount_USD],GL_Data[GL_Category],$A186,GL_Data[Account],$B186,GL_Data[MonthStart],DATE(2025,12,1)))</f>
        <v/>
      </c>
      <c r="E186" s="9" t="str">
        <f t="shared" si="3"/>
        <v/>
      </c>
    </row>
    <row r="187" spans="1:5" x14ac:dyDescent="0.3">
      <c r="A187" s="7"/>
      <c r="B187" s="7"/>
      <c r="C187" s="8" t="str">
        <f>IF($A187="","",SUMIFS(GL_Data[Amount_USD],GL_Data[GL_Category],$A187,GL_Data[Account],$B187,GL_Data[MonthStart],DATE(2025,11,1)))</f>
        <v/>
      </c>
      <c r="D187" s="8" t="str">
        <f>IF($A187="","",SUMIFS(GL_Data[Amount_USD],GL_Data[GL_Category],$A187,GL_Data[Account],$B187,GL_Data[MonthStart],DATE(2025,12,1)))</f>
        <v/>
      </c>
      <c r="E187" s="9" t="str">
        <f t="shared" si="3"/>
        <v/>
      </c>
    </row>
    <row r="188" spans="1:5" x14ac:dyDescent="0.3">
      <c r="A188" s="7"/>
      <c r="B188" s="7"/>
      <c r="C188" s="8" t="str">
        <f>IF($A188="","",SUMIFS(GL_Data[Amount_USD],GL_Data[GL_Category],$A188,GL_Data[Account],$B188,GL_Data[MonthStart],DATE(2025,11,1)))</f>
        <v/>
      </c>
      <c r="D188" s="8" t="str">
        <f>IF($A188="","",SUMIFS(GL_Data[Amount_USD],GL_Data[GL_Category],$A188,GL_Data[Account],$B188,GL_Data[MonthStart],DATE(2025,12,1)))</f>
        <v/>
      </c>
      <c r="E188" s="9" t="str">
        <f t="shared" si="3"/>
        <v/>
      </c>
    </row>
    <row r="189" spans="1:5" x14ac:dyDescent="0.3">
      <c r="A189" s="7"/>
      <c r="B189" s="7"/>
      <c r="C189" s="8" t="str">
        <f>IF($A189="","",SUMIFS(GL_Data[Amount_USD],GL_Data[GL_Category],$A189,GL_Data[Account],$B189,GL_Data[MonthStart],DATE(2025,11,1)))</f>
        <v/>
      </c>
      <c r="D189" s="8" t="str">
        <f>IF($A189="","",SUMIFS(GL_Data[Amount_USD],GL_Data[GL_Category],$A189,GL_Data[Account],$B189,GL_Data[MonthStart],DATE(2025,12,1)))</f>
        <v/>
      </c>
      <c r="E189" s="9" t="str">
        <f t="shared" si="3"/>
        <v/>
      </c>
    </row>
    <row r="190" spans="1:5" x14ac:dyDescent="0.3">
      <c r="A190" s="7"/>
      <c r="B190" s="7"/>
      <c r="C190" s="8" t="str">
        <f>IF($A190="","",SUMIFS(GL_Data[Amount_USD],GL_Data[GL_Category],$A190,GL_Data[Account],$B190,GL_Data[MonthStart],DATE(2025,11,1)))</f>
        <v/>
      </c>
      <c r="D190" s="8" t="str">
        <f>IF($A190="","",SUMIFS(GL_Data[Amount_USD],GL_Data[GL_Category],$A190,GL_Data[Account],$B190,GL_Data[MonthStart],DATE(2025,12,1)))</f>
        <v/>
      </c>
      <c r="E190" s="9" t="str">
        <f t="shared" si="3"/>
        <v/>
      </c>
    </row>
    <row r="191" spans="1:5" x14ac:dyDescent="0.3">
      <c r="A191" s="7"/>
      <c r="B191" s="7"/>
      <c r="C191" s="8" t="str">
        <f>IF($A191="","",SUMIFS(GL_Data[Amount_USD],GL_Data[GL_Category],$A191,GL_Data[Account],$B191,GL_Data[MonthStart],DATE(2025,11,1)))</f>
        <v/>
      </c>
      <c r="D191" s="8" t="str">
        <f>IF($A191="","",SUMIFS(GL_Data[Amount_USD],GL_Data[GL_Category],$A191,GL_Data[Account],$B191,GL_Data[MonthStart],DATE(2025,12,1)))</f>
        <v/>
      </c>
      <c r="E191" s="9" t="str">
        <f t="shared" si="3"/>
        <v/>
      </c>
    </row>
    <row r="192" spans="1:5" x14ac:dyDescent="0.3">
      <c r="A192" s="7"/>
      <c r="B192" s="7"/>
      <c r="C192" s="8" t="str">
        <f>IF($A192="","",SUMIFS(GL_Data[Amount_USD],GL_Data[GL_Category],$A192,GL_Data[Account],$B192,GL_Data[MonthStart],DATE(2025,11,1)))</f>
        <v/>
      </c>
      <c r="D192" s="8" t="str">
        <f>IF($A192="","",SUMIFS(GL_Data[Amount_USD],GL_Data[GL_Category],$A192,GL_Data[Account],$B192,GL_Data[MonthStart],DATE(2025,12,1)))</f>
        <v/>
      </c>
      <c r="E192" s="9" t="str">
        <f t="shared" si="3"/>
        <v/>
      </c>
    </row>
    <row r="193" spans="1:5" x14ac:dyDescent="0.3">
      <c r="A193" s="7"/>
      <c r="B193" s="7"/>
      <c r="C193" s="8" t="str">
        <f>IF($A193="","",SUMIFS(GL_Data[Amount_USD],GL_Data[GL_Category],$A193,GL_Data[Account],$B193,GL_Data[MonthStart],DATE(2025,11,1)))</f>
        <v/>
      </c>
      <c r="D193" s="8" t="str">
        <f>IF($A193="","",SUMIFS(GL_Data[Amount_USD],GL_Data[GL_Category],$A193,GL_Data[Account],$B193,GL_Data[MonthStart],DATE(2025,12,1)))</f>
        <v/>
      </c>
      <c r="E193" s="9" t="str">
        <f t="shared" si="3"/>
        <v/>
      </c>
    </row>
    <row r="194" spans="1:5" x14ac:dyDescent="0.3">
      <c r="A194" s="7"/>
      <c r="B194" s="7"/>
      <c r="C194" s="8" t="str">
        <f>IF($A194="","",SUMIFS(GL_Data[Amount_USD],GL_Data[GL_Category],$A194,GL_Data[Account],$B194,GL_Data[MonthStart],DATE(2025,11,1)))</f>
        <v/>
      </c>
      <c r="D194" s="8" t="str">
        <f>IF($A194="","",SUMIFS(GL_Data[Amount_USD],GL_Data[GL_Category],$A194,GL_Data[Account],$B194,GL_Data[MonthStart],DATE(2025,12,1)))</f>
        <v/>
      </c>
      <c r="E194" s="9" t="str">
        <f t="shared" si="3"/>
        <v/>
      </c>
    </row>
    <row r="195" spans="1:5" x14ac:dyDescent="0.3">
      <c r="A195" s="7"/>
      <c r="B195" s="7"/>
      <c r="C195" s="8" t="str">
        <f>IF($A195="","",SUMIFS(GL_Data[Amount_USD],GL_Data[GL_Category],$A195,GL_Data[Account],$B195,GL_Data[MonthStart],DATE(2025,11,1)))</f>
        <v/>
      </c>
      <c r="D195" s="8" t="str">
        <f>IF($A195="","",SUMIFS(GL_Data[Amount_USD],GL_Data[GL_Category],$A195,GL_Data[Account],$B195,GL_Data[MonthStart],DATE(2025,12,1)))</f>
        <v/>
      </c>
      <c r="E195" s="9" t="str">
        <f t="shared" si="3"/>
        <v/>
      </c>
    </row>
    <row r="196" spans="1:5" x14ac:dyDescent="0.3">
      <c r="A196" s="7"/>
      <c r="B196" s="7"/>
      <c r="C196" s="8" t="str">
        <f>IF($A196="","",SUMIFS(GL_Data[Amount_USD],GL_Data[GL_Category],$A196,GL_Data[Account],$B196,GL_Data[MonthStart],DATE(2025,11,1)))</f>
        <v/>
      </c>
      <c r="D196" s="8" t="str">
        <f>IF($A196="","",SUMIFS(GL_Data[Amount_USD],GL_Data[GL_Category],$A196,GL_Data[Account],$B196,GL_Data[MonthStart],DATE(2025,12,1)))</f>
        <v/>
      </c>
      <c r="E196" s="9" t="str">
        <f t="shared" si="3"/>
        <v/>
      </c>
    </row>
    <row r="197" spans="1:5" x14ac:dyDescent="0.3">
      <c r="A197" s="7"/>
      <c r="B197" s="7"/>
      <c r="C197" s="8" t="str">
        <f>IF($A197="","",SUMIFS(GL_Data[Amount_USD],GL_Data[GL_Category],$A197,GL_Data[Account],$B197,GL_Data[MonthStart],DATE(2025,11,1)))</f>
        <v/>
      </c>
      <c r="D197" s="8" t="str">
        <f>IF($A197="","",SUMIFS(GL_Data[Amount_USD],GL_Data[GL_Category],$A197,GL_Data[Account],$B197,GL_Data[MonthStart],DATE(2025,12,1)))</f>
        <v/>
      </c>
      <c r="E197" s="9" t="str">
        <f t="shared" ref="E197:E200" si="4">IF($A197="","",IF($C197=0,"",($D197-$C197)/ABS($C197)))</f>
        <v/>
      </c>
    </row>
    <row r="198" spans="1:5" x14ac:dyDescent="0.3">
      <c r="A198" s="7"/>
      <c r="B198" s="7"/>
      <c r="C198" s="8" t="str">
        <f>IF($A198="","",SUMIFS(GL_Data[Amount_USD],GL_Data[GL_Category],$A198,GL_Data[Account],$B198,GL_Data[MonthStart],DATE(2025,11,1)))</f>
        <v/>
      </c>
      <c r="D198" s="8" t="str">
        <f>IF($A198="","",SUMIFS(GL_Data[Amount_USD],GL_Data[GL_Category],$A198,GL_Data[Account],$B198,GL_Data[MonthStart],DATE(2025,12,1)))</f>
        <v/>
      </c>
      <c r="E198" s="9" t="str">
        <f t="shared" si="4"/>
        <v/>
      </c>
    </row>
    <row r="199" spans="1:5" x14ac:dyDescent="0.3">
      <c r="A199" s="7"/>
      <c r="B199" s="7"/>
      <c r="C199" s="8" t="str">
        <f>IF($A199="","",SUMIFS(GL_Data[Amount_USD],GL_Data[GL_Category],$A199,GL_Data[Account],$B199,GL_Data[MonthStart],DATE(2025,11,1)))</f>
        <v/>
      </c>
      <c r="D199" s="8" t="str">
        <f>IF($A199="","",SUMIFS(GL_Data[Amount_USD],GL_Data[GL_Category],$A199,GL_Data[Account],$B199,GL_Data[MonthStart],DATE(2025,12,1)))</f>
        <v/>
      </c>
      <c r="E199" s="9" t="str">
        <f t="shared" si="4"/>
        <v/>
      </c>
    </row>
    <row r="200" spans="1:5" x14ac:dyDescent="0.3">
      <c r="A200" s="7"/>
      <c r="B200" s="7"/>
      <c r="C200" s="8" t="str">
        <f>IF($A200="","",SUMIFS(GL_Data[Amount_USD],GL_Data[GL_Category],$A200,GL_Data[Account],$B200,GL_Data[MonthStart],DATE(2025,11,1)))</f>
        <v/>
      </c>
      <c r="D200" s="8" t="str">
        <f>IF($A200="","",SUMIFS(GL_Data[Amount_USD],GL_Data[GL_Category],$A200,GL_Data[Account],$B200,GL_Data[MonthStart],DATE(2025,12,1)))</f>
        <v/>
      </c>
      <c r="E200" s="9" t="str">
        <f t="shared" si="4"/>
        <v/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9A9CF-CA4E-4164-A8AB-B4146A39AD98}">
  <dimension ref="A1:I13"/>
  <sheetViews>
    <sheetView tabSelected="1" workbookViewId="0">
      <selection activeCell="G27" sqref="G27"/>
    </sheetView>
  </sheetViews>
  <sheetFormatPr defaultRowHeight="14.4" x14ac:dyDescent="0.3"/>
  <sheetData>
    <row r="1" spans="1:9" x14ac:dyDescent="0.3">
      <c r="A1" s="13" t="s">
        <v>141</v>
      </c>
    </row>
    <row r="2" spans="1:9" x14ac:dyDescent="0.3">
      <c r="A2" s="14" t="s">
        <v>140</v>
      </c>
      <c r="B2" s="14"/>
      <c r="C2" s="14"/>
      <c r="D2" s="14"/>
      <c r="E2" s="14"/>
      <c r="F2" s="14"/>
      <c r="G2" s="14"/>
      <c r="H2" s="14"/>
      <c r="I2" s="14"/>
    </row>
    <row r="3" spans="1:9" x14ac:dyDescent="0.3">
      <c r="A3" s="14"/>
      <c r="B3" s="14"/>
      <c r="C3" s="14"/>
      <c r="D3" s="14"/>
      <c r="E3" s="14"/>
      <c r="F3" s="14"/>
      <c r="G3" s="14"/>
      <c r="H3" s="14"/>
      <c r="I3" s="14"/>
    </row>
    <row r="4" spans="1:9" x14ac:dyDescent="0.3">
      <c r="A4" s="14"/>
      <c r="B4" s="14"/>
      <c r="C4" s="14"/>
      <c r="D4" s="14"/>
      <c r="E4" s="14"/>
      <c r="F4" s="14"/>
      <c r="G4" s="14"/>
      <c r="H4" s="14"/>
      <c r="I4" s="14"/>
    </row>
    <row r="5" spans="1:9" x14ac:dyDescent="0.3">
      <c r="A5" s="14"/>
      <c r="B5" s="14"/>
      <c r="C5" s="14"/>
      <c r="D5" s="14"/>
      <c r="E5" s="14"/>
      <c r="F5" s="14"/>
      <c r="G5" s="14"/>
      <c r="H5" s="14"/>
      <c r="I5" s="14"/>
    </row>
    <row r="6" spans="1:9" x14ac:dyDescent="0.3">
      <c r="A6" s="14"/>
      <c r="B6" s="14"/>
      <c r="C6" s="14"/>
      <c r="D6" s="14"/>
      <c r="E6" s="14"/>
      <c r="F6" s="14"/>
      <c r="G6" s="14"/>
      <c r="H6" s="14"/>
      <c r="I6" s="14"/>
    </row>
    <row r="7" spans="1:9" x14ac:dyDescent="0.3">
      <c r="A7" s="14"/>
      <c r="B7" s="14"/>
      <c r="C7" s="14"/>
      <c r="D7" s="14"/>
      <c r="E7" s="14"/>
      <c r="F7" s="14"/>
      <c r="G7" s="14"/>
      <c r="H7" s="14"/>
      <c r="I7" s="14"/>
    </row>
    <row r="8" spans="1:9" x14ac:dyDescent="0.3">
      <c r="A8" s="14"/>
      <c r="B8" s="14"/>
      <c r="C8" s="14"/>
      <c r="D8" s="14"/>
      <c r="E8" s="14"/>
      <c r="F8" s="14"/>
      <c r="G8" s="14"/>
      <c r="H8" s="14"/>
      <c r="I8" s="14"/>
    </row>
    <row r="9" spans="1:9" x14ac:dyDescent="0.3">
      <c r="A9" s="14"/>
      <c r="B9" s="14"/>
      <c r="C9" s="14"/>
      <c r="D9" s="14"/>
      <c r="E9" s="14"/>
      <c r="F9" s="14"/>
      <c r="G9" s="14"/>
      <c r="H9" s="14"/>
      <c r="I9" s="14"/>
    </row>
    <row r="10" spans="1:9" x14ac:dyDescent="0.3">
      <c r="A10" s="14"/>
      <c r="B10" s="14"/>
      <c r="C10" s="14"/>
      <c r="D10" s="14"/>
      <c r="E10" s="14"/>
      <c r="F10" s="14"/>
      <c r="G10" s="14"/>
      <c r="H10" s="14"/>
      <c r="I10" s="14"/>
    </row>
    <row r="11" spans="1:9" x14ac:dyDescent="0.3">
      <c r="A11" s="14"/>
      <c r="B11" s="14"/>
      <c r="C11" s="14"/>
      <c r="D11" s="14"/>
      <c r="E11" s="14"/>
      <c r="F11" s="14"/>
      <c r="G11" s="14"/>
      <c r="H11" s="14"/>
      <c r="I11" s="14"/>
    </row>
    <row r="12" spans="1:9" x14ac:dyDescent="0.3">
      <c r="A12" s="14"/>
      <c r="B12" s="14"/>
      <c r="C12" s="14"/>
      <c r="D12" s="14"/>
      <c r="E12" s="14"/>
      <c r="F12" s="14"/>
      <c r="G12" s="14"/>
      <c r="H12" s="14"/>
      <c r="I12" s="14"/>
    </row>
    <row r="13" spans="1:9" x14ac:dyDescent="0.3">
      <c r="A13" s="14"/>
      <c r="B13" s="14"/>
      <c r="C13" s="14"/>
      <c r="D13" s="14"/>
      <c r="E13" s="14"/>
      <c r="F13" s="14"/>
      <c r="G13" s="14"/>
      <c r="H13" s="14"/>
      <c r="I13" s="14"/>
    </row>
  </sheetData>
  <mergeCells count="1">
    <mergeCell ref="A2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GL_Nov_Dec_2025</vt:lpstr>
      <vt:lpstr>Expense_analysis</vt:lpstr>
      <vt:lpstr>Because_statement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Ayesha Younis</cp:lastModifiedBy>
  <dcterms:created xsi:type="dcterms:W3CDTF">2026-01-31T18:59:32Z</dcterms:created>
  <dcterms:modified xsi:type="dcterms:W3CDTF">2026-02-03T17:04:12Z</dcterms:modified>
</cp:coreProperties>
</file>