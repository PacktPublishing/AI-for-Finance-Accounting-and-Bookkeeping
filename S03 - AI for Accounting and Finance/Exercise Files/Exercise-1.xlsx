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D:\Axial Consulting\AI-in-accounting-and-finance\Course files\Module 5\"/>
    </mc:Choice>
  </mc:AlternateContent>
  <xr:revisionPtr revIDLastSave="0" documentId="13_ncr:1_{007D6C9B-D5B2-4787-8C04-F4B90FCA5158}" xr6:coauthVersionLast="47" xr6:coauthVersionMax="47" xr10:uidLastSave="{00000000-0000-0000-0000-000000000000}"/>
  <bookViews>
    <workbookView xWindow="-120" yWindow="-120" windowWidth="20730" windowHeight="11040" tabRatio="745" activeTab="3" xr2:uid="{E68D6459-25A7-4CFD-BF19-BCBD5676A429}"/>
  </bookViews>
  <sheets>
    <sheet name="Balance Sheet" sheetId="1" r:id="rId1"/>
    <sheet name="Profit Loss St." sheetId="2" r:id="rId2"/>
    <sheet name="Ratios-Figure" sheetId="5" r:id="rId3"/>
    <sheet name="Answer"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E4" i="6"/>
  <c r="E2" i="6" l="1"/>
  <c r="E6" i="6"/>
  <c r="E5" i="6"/>
  <c r="E7" i="6"/>
  <c r="B2" i="5"/>
  <c r="B28" i="2"/>
  <c r="B14" i="5"/>
  <c r="B7" i="5" s="1"/>
  <c r="B23" i="1" l="1"/>
  <c r="B27" i="1"/>
  <c r="B20" i="1"/>
  <c r="B20" i="2"/>
  <c r="B12" i="2"/>
  <c r="B6" i="2"/>
  <c r="B11" i="1"/>
  <c r="B6" i="1"/>
  <c r="B5" i="5" l="1"/>
  <c r="B4" i="5"/>
  <c r="B24" i="1"/>
  <c r="B14" i="2"/>
  <c r="B22" i="2" s="1"/>
  <c r="B12" i="1"/>
  <c r="B29" i="1" l="1"/>
  <c r="B6" i="5"/>
  <c r="B25" i="2"/>
  <c r="B8" i="5"/>
  <c r="B3" i="5"/>
  <c r="B9" i="5" l="1"/>
</calcChain>
</file>

<file path=xl/sharedStrings.xml><?xml version="1.0" encoding="utf-8"?>
<sst xmlns="http://schemas.openxmlformats.org/spreadsheetml/2006/main" count="105" uniqueCount="104">
  <si>
    <t>Assets</t>
  </si>
  <si>
    <t>Current Assets</t>
  </si>
  <si>
    <t>Cash &amp; Cash equivalents</t>
  </si>
  <si>
    <t>Receivables</t>
  </si>
  <si>
    <t>Prepaid expenses</t>
  </si>
  <si>
    <t>Total Current Assets</t>
  </si>
  <si>
    <t>Non-current assets</t>
  </si>
  <si>
    <t>Equipment</t>
  </si>
  <si>
    <t>Long-term investment</t>
  </si>
  <si>
    <t>Intangible assets</t>
  </si>
  <si>
    <t>Total Non-current assets</t>
  </si>
  <si>
    <t>TOTAL ASSETS</t>
  </si>
  <si>
    <t xml:space="preserve">Liabilities </t>
  </si>
  <si>
    <t>Current liabilities</t>
  </si>
  <si>
    <t>Accounts Payable</t>
  </si>
  <si>
    <t>Income Tax Payable</t>
  </si>
  <si>
    <t>Accrued Salaries</t>
  </si>
  <si>
    <t>Unearned Revenue</t>
  </si>
  <si>
    <t>Current Portion of Long-Term Debt</t>
  </si>
  <si>
    <t>Total Current Liabilities</t>
  </si>
  <si>
    <t>Long-Term Debt</t>
  </si>
  <si>
    <t>Other Long-Term Liabilities</t>
  </si>
  <si>
    <t>Total Long-Term Liabilities</t>
  </si>
  <si>
    <t>TOTAL LIABILITIES</t>
  </si>
  <si>
    <t>Owner's Investment</t>
  </si>
  <si>
    <t>Retained Earnings</t>
  </si>
  <si>
    <t>TOTAL OWNER'S EQUITY</t>
  </si>
  <si>
    <t>TOTAL LIABILITIES &amp; OWNER'S EQUITY</t>
  </si>
  <si>
    <t>Category</t>
  </si>
  <si>
    <t xml:space="preserve">Revenue </t>
  </si>
  <si>
    <t>Total Revenue</t>
  </si>
  <si>
    <t>Cost of Revenue</t>
  </si>
  <si>
    <t>Software Hosting &amp; Maintenance Costs</t>
  </si>
  <si>
    <t>Software Development Expenses</t>
  </si>
  <si>
    <t>Consultant salaries</t>
  </si>
  <si>
    <t>Total Cost of Revenue</t>
  </si>
  <si>
    <t>Gross Profit</t>
  </si>
  <si>
    <t>Operating Expenses</t>
  </si>
  <si>
    <t>Support staff salaries</t>
  </si>
  <si>
    <t>Sales &amp; Marketing</t>
  </si>
  <si>
    <t>Customer Support &amp; Maintenance</t>
  </si>
  <si>
    <t>Depreciation &amp; Amortization</t>
  </si>
  <si>
    <t>Total Operating Expenses</t>
  </si>
  <si>
    <t>Operating Profit</t>
  </si>
  <si>
    <t>Interest &amp; Other Expenses</t>
  </si>
  <si>
    <t>Net Profit Before Tax</t>
  </si>
  <si>
    <t>Income Tax Expense</t>
  </si>
  <si>
    <t>Net Profit After Tax</t>
  </si>
  <si>
    <t>Formula</t>
  </si>
  <si>
    <t>Gross Profit Margin</t>
  </si>
  <si>
    <t>Operating Profit Margin (EBIT Margin)</t>
  </si>
  <si>
    <t>Net Profit Margin</t>
  </si>
  <si>
    <t>Current Ratio</t>
  </si>
  <si>
    <t>Debt-to-Equity Ratio</t>
  </si>
  <si>
    <t>Revenue Per Employee</t>
  </si>
  <si>
    <t>Interest Coverage Ratio</t>
  </si>
  <si>
    <t>Effective Tax Rate</t>
  </si>
  <si>
    <t>Human Resource Ratios</t>
  </si>
  <si>
    <t>Number of permanent employees</t>
  </si>
  <si>
    <t>Total number of employees</t>
  </si>
  <si>
    <t>Custom software development</t>
  </si>
  <si>
    <t>Tech consultancy</t>
  </si>
  <si>
    <t>IT suppport and services</t>
  </si>
  <si>
    <t>Accounting Ratio or Figure</t>
  </si>
  <si>
    <t>Total Hiring Costs</t>
  </si>
  <si>
    <t>Number of new hires</t>
  </si>
  <si>
    <t>Exchange rate (CAD/USD)</t>
  </si>
  <si>
    <t>Exchange rate (CAD/EUR)</t>
  </si>
  <si>
    <t>Expected exchange rates</t>
  </si>
  <si>
    <t>Value</t>
  </si>
  <si>
    <t>Currency Fluctuations (USD/CAD)</t>
  </si>
  <si>
    <t>Cross-Border Regulatory Changes</t>
  </si>
  <si>
    <t>Key Personnel Dependency</t>
  </si>
  <si>
    <t>Risk Title</t>
  </si>
  <si>
    <t>Recommended Metric</t>
  </si>
  <si>
    <t>Calculation</t>
  </si>
  <si>
    <t>Revenue at Risk (RaR) due to FX</t>
  </si>
  <si>
    <t>Foreign Revenue × Expected % Change in FX Rate</t>
  </si>
  <si>
    <t>Revenue Concentration by Region</t>
  </si>
  <si>
    <t>% Consultant Salary Cost</t>
  </si>
  <si>
    <t>Consultant Salaries ÷ Total Cost</t>
  </si>
  <si>
    <t>Revenue breakdown</t>
  </si>
  <si>
    <t>Revenue from Europe</t>
  </si>
  <si>
    <t>Revenue from America</t>
  </si>
  <si>
    <t>Revenue from Canada</t>
  </si>
  <si>
    <t>(American Revenue ÷Total Revenue) * 100</t>
  </si>
  <si>
    <t>(European Revenue ÷ Total Revenue) * 100</t>
  </si>
  <si>
    <t xml:space="preserve">Quantifies exposure to currency risk. In order to minimize the impact, Alpha Co. must expand local operations to mitigate the risk of currency fluctuations. </t>
  </si>
  <si>
    <t>Proposed Responses</t>
  </si>
  <si>
    <t>Number of contractual employees-Consultants</t>
  </si>
  <si>
    <t xml:space="preserve">% </t>
  </si>
  <si>
    <t xml:space="preserve">Indicates high dependency on consultants. The company can conduct training programs or review employment terms to reduce dependence on contracted employees. </t>
  </si>
  <si>
    <t>Competition &amp; Market Saturation</t>
  </si>
  <si>
    <t>Market Share vs. Industry Growth Rate</t>
  </si>
  <si>
    <t>(European Market Share ÷  Industry growth rate)x100</t>
  </si>
  <si>
    <t>(American Market Share ÷  Industry growth rate)x100</t>
  </si>
  <si>
    <t>Market figures</t>
  </si>
  <si>
    <t>Share of Canadian Market</t>
  </si>
  <si>
    <t>Share of American Market</t>
  </si>
  <si>
    <t>Share of European Market</t>
  </si>
  <si>
    <t>Industry Growth Rate</t>
  </si>
  <si>
    <t>Priority</t>
  </si>
  <si>
    <t xml:space="preserve">40% concentration in American market asks for greater penetration in local market. This can be done through new product offering or attracting new clients. </t>
  </si>
  <si>
    <t xml:space="preserve">Having a small share in a market with steady growth indicates window of oppurtunity for Alpha Co. However, the competition is tough. Alpha Co. should improve its position by offering competitve services to its clients and offering new services to grow client 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</si>
</sst>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quot;$&quot;* #,##0_);_(&quot;$&quot;* \(#,##0\);_(&quot;$&quot;* &quot;-&quot;??_);_(@_)"/>
    <numFmt numFmtId="165" formatCode="[$CAD]\ #,##0_);\([$CAD]\ #,##0\)"/>
    <numFmt numFmtId="166" formatCode="_([$CAD]\ * #,##0.00_);_([$CAD]\ * \(#,##0.00\);_([$CAD]\ * &quot;-&quot;??_);_(@_)"/>
    <numFmt numFmtId="167" formatCode="[$CAD]\ #,##0.00"/>
    <numFmt numFmtId="173" formatCode="0.0000%"/>
    <numFmt numFmtId="178" formatCode="0.0000"/>
    <numFmt numFmtId="179" formatCode="0.00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sz val="11"/>
      <color theme="0"/>
      <name val="Aptos Narrow"/>
      <family val="2"/>
      <scheme val="minor"/>
    </font>
    <font>
      <sz val="10"/>
      <color theme="1"/>
      <name val="Arial"/>
      <family val="2"/>
    </font>
    <font>
      <b/>
      <sz val="10"/>
      <color theme="1"/>
      <name val="Arial"/>
      <family val="2"/>
    </font>
    <font>
      <b/>
      <sz val="14"/>
      <color theme="1"/>
      <name val="Aptos Narrow"/>
      <family val="2"/>
      <scheme val="minor"/>
    </font>
    <font>
      <sz val="1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s>
  <borders count="7">
    <border>
      <left/>
      <right/>
      <top/>
      <bottom/>
      <diagonal/>
    </border>
    <border>
      <left/>
      <right/>
      <top style="thin">
        <color indexed="64"/>
      </top>
      <bottom style="medium">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0" fontId="3" fillId="0" borderId="0" xfId="0" applyFont="1" applyAlignment="1">
      <alignment horizontal="right"/>
    </xf>
    <xf numFmtId="0" fontId="2" fillId="0" borderId="0" xfId="0" applyFont="1" applyAlignment="1">
      <alignment horizontal="right"/>
    </xf>
    <xf numFmtId="0" fontId="2" fillId="0" borderId="1" xfId="0" applyFont="1" applyBorder="1"/>
    <xf numFmtId="0" fontId="3" fillId="0" borderId="2" xfId="0" applyFont="1" applyBorder="1" applyAlignment="1">
      <alignment horizontal="right"/>
    </xf>
    <xf numFmtId="0" fontId="2" fillId="0" borderId="2" xfId="0" applyFont="1" applyBorder="1"/>
    <xf numFmtId="0" fontId="3" fillId="0" borderId="3" xfId="0" applyFont="1" applyBorder="1" applyAlignment="1">
      <alignment horizontal="right"/>
    </xf>
    <xf numFmtId="164" fontId="0" fillId="0" borderId="0" xfId="1" applyNumberFormat="1" applyFont="1"/>
    <xf numFmtId="164" fontId="2" fillId="0" borderId="0" xfId="1" applyNumberFormat="1" applyFont="1"/>
    <xf numFmtId="164" fontId="2" fillId="0" borderId="2" xfId="1" applyNumberFormat="1" applyFont="1" applyBorder="1"/>
    <xf numFmtId="164" fontId="0" fillId="0" borderId="2" xfId="1" applyNumberFormat="1" applyFont="1" applyBorder="1"/>
    <xf numFmtId="164" fontId="0" fillId="0" borderId="0" xfId="0" applyNumberFormat="1"/>
    <xf numFmtId="164" fontId="2" fillId="0" borderId="1" xfId="1" applyNumberFormat="1" applyFont="1" applyBorder="1"/>
    <xf numFmtId="164" fontId="0" fillId="0" borderId="3" xfId="1" applyNumberFormat="1" applyFont="1" applyBorder="1"/>
    <xf numFmtId="0" fontId="2" fillId="2" borderId="0" xfId="0" applyFont="1" applyFill="1"/>
    <xf numFmtId="9" fontId="0" fillId="0" borderId="0" xfId="2" applyFont="1"/>
    <xf numFmtId="2" fontId="0" fillId="0" borderId="0" xfId="0" applyNumberFormat="1"/>
    <xf numFmtId="0" fontId="4" fillId="0" borderId="0" xfId="0" applyFont="1"/>
    <xf numFmtId="10" fontId="0" fillId="0" borderId="0" xfId="2" applyNumberFormat="1" applyFont="1"/>
    <xf numFmtId="44" fontId="0" fillId="0" borderId="0" xfId="1" applyFont="1"/>
    <xf numFmtId="165" fontId="5" fillId="0" borderId="0" xfId="1" applyNumberFormat="1" applyFont="1" applyAlignment="1">
      <alignment horizontal="left"/>
    </xf>
    <xf numFmtId="0" fontId="6" fillId="2" borderId="0" xfId="0" applyFont="1" applyFill="1"/>
    <xf numFmtId="0" fontId="6" fillId="0" borderId="0" xfId="0" applyFont="1"/>
    <xf numFmtId="164" fontId="5" fillId="0" borderId="0" xfId="1" applyNumberFormat="1" applyFont="1"/>
    <xf numFmtId="0" fontId="5" fillId="0" borderId="0" xfId="0" applyFont="1"/>
    <xf numFmtId="0" fontId="6" fillId="0" borderId="0" xfId="0" applyFont="1" applyAlignment="1">
      <alignment horizontal="right"/>
    </xf>
    <xf numFmtId="165" fontId="6" fillId="0" borderId="2" xfId="1" applyNumberFormat="1" applyFont="1" applyBorder="1" applyAlignment="1">
      <alignment horizontal="left"/>
    </xf>
    <xf numFmtId="0" fontId="6" fillId="0" borderId="2" xfId="0" applyFont="1" applyBorder="1" applyAlignment="1">
      <alignment horizontal="right"/>
    </xf>
    <xf numFmtId="0" fontId="6" fillId="2" borderId="0" xfId="0" applyFont="1" applyFill="1" applyAlignment="1">
      <alignment horizontal="center"/>
    </xf>
    <xf numFmtId="0" fontId="6" fillId="3" borderId="2" xfId="0" applyFont="1" applyFill="1" applyBorder="1" applyAlignment="1">
      <alignment horizontal="right"/>
    </xf>
    <xf numFmtId="165" fontId="6" fillId="3" borderId="2" xfId="1" applyNumberFormat="1" applyFont="1" applyFill="1" applyBorder="1" applyAlignment="1">
      <alignment horizontal="left"/>
    </xf>
    <xf numFmtId="0" fontId="2" fillId="3" borderId="4" xfId="0" applyFont="1" applyFill="1" applyBorder="1" applyAlignment="1">
      <alignment horizontal="center" vertical="top"/>
    </xf>
    <xf numFmtId="0" fontId="2" fillId="3" borderId="4" xfId="0" applyFont="1" applyFill="1" applyBorder="1"/>
    <xf numFmtId="0" fontId="0" fillId="0" borderId="4" xfId="0" applyBorder="1"/>
    <xf numFmtId="0" fontId="2" fillId="2" borderId="0" xfId="0" applyFont="1" applyFill="1" applyAlignment="1">
      <alignment horizontal="center" vertical="center"/>
    </xf>
    <xf numFmtId="166" fontId="0" fillId="0" borderId="0" xfId="1" applyNumberFormat="1" applyFont="1"/>
    <xf numFmtId="166" fontId="0" fillId="0" borderId="0" xfId="0" applyNumberFormat="1"/>
    <xf numFmtId="0" fontId="2" fillId="3" borderId="4" xfId="0" applyFont="1" applyFill="1" applyBorder="1" applyAlignment="1">
      <alignment horizontal="center"/>
    </xf>
    <xf numFmtId="0" fontId="2" fillId="3" borderId="4" xfId="0" applyFont="1" applyFill="1" applyBorder="1" applyAlignment="1">
      <alignment horizontal="center" vertical="center"/>
    </xf>
    <xf numFmtId="0" fontId="0" fillId="0" borderId="4" xfId="0" applyBorder="1" applyAlignment="1">
      <alignment horizontal="left" vertical="center" wrapText="1"/>
    </xf>
    <xf numFmtId="0" fontId="2" fillId="0" borderId="4" xfId="0" applyFont="1" applyBorder="1"/>
    <xf numFmtId="0" fontId="7" fillId="3" borderId="4" xfId="0" applyFont="1" applyFill="1" applyBorder="1" applyAlignment="1">
      <alignment horizontal="center" vertical="center" wrapText="1"/>
    </xf>
    <xf numFmtId="167" fontId="0" fillId="0" borderId="4" xfId="2" applyNumberFormat="1" applyFont="1" applyBorder="1"/>
    <xf numFmtId="0" fontId="0" fillId="0" borderId="5" xfId="0" applyBorder="1" applyAlignment="1">
      <alignment horizontal="left" vertical="center" wrapText="1"/>
    </xf>
    <xf numFmtId="0" fontId="0" fillId="0" borderId="6" xfId="0" applyBorder="1" applyAlignment="1">
      <alignment horizontal="left" vertical="center" wrapText="1"/>
    </xf>
    <xf numFmtId="9" fontId="0" fillId="0" borderId="0" xfId="0" applyNumberFormat="1"/>
    <xf numFmtId="173" fontId="0" fillId="0" borderId="0" xfId="0" applyNumberFormat="1"/>
    <xf numFmtId="0" fontId="0" fillId="0" borderId="4" xfId="0" applyBorder="1" applyAlignment="1">
      <alignment horizontal="center" vertical="center"/>
    </xf>
    <xf numFmtId="0" fontId="0" fillId="0" borderId="4" xfId="0" applyBorder="1" applyAlignment="1">
      <alignment horizontal="center" vertical="center"/>
    </xf>
    <xf numFmtId="179" fontId="0" fillId="0" borderId="0" xfId="0" applyNumberFormat="1"/>
    <xf numFmtId="166" fontId="0" fillId="4" borderId="4" xfId="1" applyNumberFormat="1" applyFont="1" applyFill="1" applyBorder="1" applyAlignment="1">
      <alignment horizontal="center" vertical="center" wrapText="1"/>
    </xf>
    <xf numFmtId="178" fontId="0" fillId="4" borderId="4" xfId="1" applyNumberFormat="1" applyFont="1" applyFill="1" applyBorder="1" applyAlignment="1">
      <alignment horizontal="center" vertical="center" wrapText="1"/>
    </xf>
    <xf numFmtId="0" fontId="0" fillId="4" borderId="4" xfId="2" applyNumberFormat="1" applyFont="1" applyFill="1" applyBorder="1" applyAlignment="1">
      <alignment horizontal="center" vertical="center" wrapText="1"/>
    </xf>
    <xf numFmtId="9" fontId="0" fillId="4" borderId="4" xfId="2" applyFont="1" applyFill="1" applyBorder="1" applyAlignment="1">
      <alignment horizontal="center" vertical="center" wrapText="1"/>
    </xf>
    <xf numFmtId="0" fontId="8" fillId="0" borderId="4" xfId="0" applyFont="1" applyBorder="1" applyAlignment="1">
      <alignmen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4" xfId="0" applyFont="1" applyBorder="1" applyAlignment="1">
      <alignmen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11123B-F982-4E98-B64A-3734594BFEF9}">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5BEB-512A-4C62-990C-829081E12542}">
  <dimension ref="A1:I30"/>
  <sheetViews>
    <sheetView workbookViewId="0">
      <selection activeCell="B1" sqref="B1"/>
    </sheetView>
  </sheetViews>
  <sheetFormatPr defaultRowHeight="15" x14ac:dyDescent="0.25"/>
  <cols>
    <col min="1" max="1" width="34.85546875" customWidth="1"/>
    <col min="2" max="2" width="14.28515625" bestFit="1" customWidth="1"/>
    <col min="3" max="4" width="12.5703125" bestFit="1" customWidth="1"/>
    <col min="6" max="6" width="14.85546875" customWidth="1"/>
  </cols>
  <sheetData>
    <row r="1" spans="1:9" x14ac:dyDescent="0.25">
      <c r="A1" s="15" t="s">
        <v>0</v>
      </c>
      <c r="B1" s="35">
        <v>2024</v>
      </c>
    </row>
    <row r="2" spans="1:9" x14ac:dyDescent="0.25">
      <c r="A2" s="1" t="s">
        <v>1</v>
      </c>
    </row>
    <row r="3" spans="1:9" x14ac:dyDescent="0.25">
      <c r="A3" t="s">
        <v>2</v>
      </c>
      <c r="B3" s="8">
        <v>125000</v>
      </c>
    </row>
    <row r="4" spans="1:9" x14ac:dyDescent="0.25">
      <c r="A4" t="s">
        <v>3</v>
      </c>
      <c r="B4" s="8">
        <v>80000</v>
      </c>
      <c r="I4" s="16"/>
    </row>
    <row r="5" spans="1:9" x14ac:dyDescent="0.25">
      <c r="A5" t="s">
        <v>4</v>
      </c>
      <c r="B5" s="8">
        <v>25000</v>
      </c>
    </row>
    <row r="6" spans="1:9" x14ac:dyDescent="0.25">
      <c r="A6" s="5" t="s">
        <v>5</v>
      </c>
      <c r="B6" s="11">
        <f>SUM(B2:B5)</f>
        <v>230000</v>
      </c>
    </row>
    <row r="7" spans="1:9" x14ac:dyDescent="0.25">
      <c r="A7" s="1" t="s">
        <v>6</v>
      </c>
      <c r="B7" s="8"/>
    </row>
    <row r="8" spans="1:9" x14ac:dyDescent="0.25">
      <c r="A8" t="s">
        <v>7</v>
      </c>
      <c r="B8" s="8">
        <v>95000</v>
      </c>
    </row>
    <row r="9" spans="1:9" x14ac:dyDescent="0.25">
      <c r="A9" t="s">
        <v>8</v>
      </c>
      <c r="B9" s="8">
        <v>25000</v>
      </c>
    </row>
    <row r="10" spans="1:9" x14ac:dyDescent="0.25">
      <c r="A10" t="s">
        <v>9</v>
      </c>
      <c r="B10" s="8">
        <v>120000</v>
      </c>
    </row>
    <row r="11" spans="1:9" x14ac:dyDescent="0.25">
      <c r="A11" s="7" t="s">
        <v>10</v>
      </c>
      <c r="B11" s="14">
        <f>SUM(B7:B10)</f>
        <v>240000</v>
      </c>
    </row>
    <row r="12" spans="1:9" ht="15.75" thickBot="1" x14ac:dyDescent="0.3">
      <c r="A12" s="4" t="s">
        <v>11</v>
      </c>
      <c r="B12" s="13">
        <f>B11+B6</f>
        <v>470000</v>
      </c>
    </row>
    <row r="13" spans="1:9" x14ac:dyDescent="0.25">
      <c r="A13" s="1" t="s">
        <v>12</v>
      </c>
    </row>
    <row r="14" spans="1:9" x14ac:dyDescent="0.25">
      <c r="A14" s="1" t="s">
        <v>13</v>
      </c>
    </row>
    <row r="15" spans="1:9" x14ac:dyDescent="0.25">
      <c r="A15" t="s">
        <v>14</v>
      </c>
      <c r="B15" s="8">
        <v>45000</v>
      </c>
    </row>
    <row r="16" spans="1:9" x14ac:dyDescent="0.25">
      <c r="A16" t="s">
        <v>15</v>
      </c>
      <c r="B16" s="8">
        <v>40000</v>
      </c>
    </row>
    <row r="17" spans="1:2" x14ac:dyDescent="0.25">
      <c r="A17" t="s">
        <v>16</v>
      </c>
      <c r="B17" s="8">
        <v>30000</v>
      </c>
    </row>
    <row r="18" spans="1:2" x14ac:dyDescent="0.25">
      <c r="A18" t="s">
        <v>17</v>
      </c>
      <c r="B18" s="8">
        <v>45000</v>
      </c>
    </row>
    <row r="19" spans="1:2" x14ac:dyDescent="0.25">
      <c r="A19" t="s">
        <v>18</v>
      </c>
      <c r="B19" s="8">
        <v>15000</v>
      </c>
    </row>
    <row r="20" spans="1:2" x14ac:dyDescent="0.25">
      <c r="A20" s="5" t="s">
        <v>19</v>
      </c>
      <c r="B20" s="10">
        <f>SUM(B15:B19)</f>
        <v>175000</v>
      </c>
    </row>
    <row r="21" spans="1:2" x14ac:dyDescent="0.25">
      <c r="A21" t="s">
        <v>20</v>
      </c>
      <c r="B21" s="8">
        <v>40000</v>
      </c>
    </row>
    <row r="22" spans="1:2" x14ac:dyDescent="0.25">
      <c r="A22" t="s">
        <v>21</v>
      </c>
      <c r="B22" s="8">
        <v>15000</v>
      </c>
    </row>
    <row r="23" spans="1:2" x14ac:dyDescent="0.25">
      <c r="A23" s="2" t="s">
        <v>22</v>
      </c>
      <c r="B23" s="9">
        <f>SUM(B21:B22)</f>
        <v>55000</v>
      </c>
    </row>
    <row r="24" spans="1:2" x14ac:dyDescent="0.25">
      <c r="A24" s="6" t="s">
        <v>23</v>
      </c>
      <c r="B24" s="10">
        <f>B23+B20</f>
        <v>230000</v>
      </c>
    </row>
    <row r="25" spans="1:2" x14ac:dyDescent="0.25">
      <c r="A25" t="s">
        <v>24</v>
      </c>
      <c r="B25" s="8">
        <v>100000</v>
      </c>
    </row>
    <row r="26" spans="1:2" x14ac:dyDescent="0.25">
      <c r="A26" t="s">
        <v>25</v>
      </c>
      <c r="B26" s="8">
        <v>140000</v>
      </c>
    </row>
    <row r="27" spans="1:2" x14ac:dyDescent="0.25">
      <c r="A27" s="6" t="s">
        <v>26</v>
      </c>
      <c r="B27" s="10">
        <f>SUM(B25:B26)</f>
        <v>240000</v>
      </c>
    </row>
    <row r="29" spans="1:2" ht="15.75" thickBot="1" x14ac:dyDescent="0.3">
      <c r="A29" s="4" t="s">
        <v>27</v>
      </c>
      <c r="B29" s="13">
        <f>B27+B24</f>
        <v>470000</v>
      </c>
    </row>
    <row r="30" spans="1:2" x14ac:dyDescent="0.25">
      <c r="B3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DEDD-F280-4896-8410-185887690A8D}">
  <dimension ref="A1:C29"/>
  <sheetViews>
    <sheetView workbookViewId="0">
      <selection activeCell="B27" sqref="B27"/>
    </sheetView>
  </sheetViews>
  <sheetFormatPr defaultRowHeight="15" x14ac:dyDescent="0.25"/>
  <cols>
    <col min="1" max="1" width="36.5703125" customWidth="1"/>
    <col min="2" max="2" width="15.5703125" customWidth="1"/>
    <col min="3" max="3" width="10" bestFit="1" customWidth="1"/>
  </cols>
  <sheetData>
    <row r="1" spans="1:2" x14ac:dyDescent="0.25">
      <c r="A1" s="22" t="s">
        <v>28</v>
      </c>
      <c r="B1" s="29">
        <v>2024</v>
      </c>
    </row>
    <row r="2" spans="1:2" x14ac:dyDescent="0.25">
      <c r="A2" s="23" t="s">
        <v>29</v>
      </c>
      <c r="B2" s="24"/>
    </row>
    <row r="3" spans="1:2" x14ac:dyDescent="0.25">
      <c r="A3" s="25" t="s">
        <v>60</v>
      </c>
      <c r="B3" s="21">
        <v>600000</v>
      </c>
    </row>
    <row r="4" spans="1:2" x14ac:dyDescent="0.25">
      <c r="A4" s="25" t="s">
        <v>61</v>
      </c>
      <c r="B4" s="21">
        <v>200000</v>
      </c>
    </row>
    <row r="5" spans="1:2" x14ac:dyDescent="0.25">
      <c r="A5" s="25" t="s">
        <v>62</v>
      </c>
      <c r="B5" s="21">
        <v>28000</v>
      </c>
    </row>
    <row r="6" spans="1:2" x14ac:dyDescent="0.25">
      <c r="A6" s="28" t="s">
        <v>30</v>
      </c>
      <c r="B6" s="27">
        <f>SUM(B3:B5)</f>
        <v>828000</v>
      </c>
    </row>
    <row r="7" spans="1:2" x14ac:dyDescent="0.25">
      <c r="A7" s="25"/>
      <c r="B7" s="21"/>
    </row>
    <row r="8" spans="1:2" x14ac:dyDescent="0.25">
      <c r="A8" s="23" t="s">
        <v>31</v>
      </c>
      <c r="B8" s="21"/>
    </row>
    <row r="9" spans="1:2" x14ac:dyDescent="0.25">
      <c r="A9" s="25" t="s">
        <v>32</v>
      </c>
      <c r="B9" s="21">
        <v>50000</v>
      </c>
    </row>
    <row r="10" spans="1:2" x14ac:dyDescent="0.25">
      <c r="A10" s="25" t="s">
        <v>33</v>
      </c>
      <c r="B10" s="21">
        <v>73000</v>
      </c>
    </row>
    <row r="11" spans="1:2" x14ac:dyDescent="0.25">
      <c r="A11" s="25" t="s">
        <v>34</v>
      </c>
      <c r="B11" s="21">
        <v>80000</v>
      </c>
    </row>
    <row r="12" spans="1:2" x14ac:dyDescent="0.25">
      <c r="A12" s="28" t="s">
        <v>35</v>
      </c>
      <c r="B12" s="27">
        <f>SUM(B9:B11)</f>
        <v>203000</v>
      </c>
    </row>
    <row r="13" spans="1:2" x14ac:dyDescent="0.25">
      <c r="A13" s="23"/>
      <c r="B13" s="21"/>
    </row>
    <row r="14" spans="1:2" x14ac:dyDescent="0.25">
      <c r="A14" s="30" t="s">
        <v>36</v>
      </c>
      <c r="B14" s="31">
        <f>B6-B12</f>
        <v>625000</v>
      </c>
    </row>
    <row r="15" spans="1:2" x14ac:dyDescent="0.25">
      <c r="A15" s="23" t="s">
        <v>37</v>
      </c>
      <c r="B15" s="21"/>
    </row>
    <row r="16" spans="1:2" x14ac:dyDescent="0.25">
      <c r="A16" s="25" t="s">
        <v>38</v>
      </c>
      <c r="B16" s="21">
        <v>80000</v>
      </c>
    </row>
    <row r="17" spans="1:3" x14ac:dyDescent="0.25">
      <c r="A17" s="25" t="s">
        <v>39</v>
      </c>
      <c r="B17" s="21">
        <v>48000</v>
      </c>
    </row>
    <row r="18" spans="1:3" x14ac:dyDescent="0.25">
      <c r="A18" s="25" t="s">
        <v>40</v>
      </c>
      <c r="B18" s="21">
        <v>25000</v>
      </c>
    </row>
    <row r="19" spans="1:3" x14ac:dyDescent="0.25">
      <c r="A19" s="25" t="s">
        <v>41</v>
      </c>
      <c r="B19" s="21">
        <v>32000</v>
      </c>
    </row>
    <row r="20" spans="1:3" x14ac:dyDescent="0.25">
      <c r="A20" s="30" t="s">
        <v>42</v>
      </c>
      <c r="B20" s="31">
        <f>SUM(B16:B19)</f>
        <v>185000</v>
      </c>
    </row>
    <row r="21" spans="1:3" x14ac:dyDescent="0.25">
      <c r="A21" s="23"/>
      <c r="B21" s="21"/>
    </row>
    <row r="22" spans="1:3" x14ac:dyDescent="0.25">
      <c r="A22" s="30" t="s">
        <v>43</v>
      </c>
      <c r="B22" s="31">
        <f>B14-B20</f>
        <v>440000</v>
      </c>
      <c r="C22" s="12"/>
    </row>
    <row r="23" spans="1:3" x14ac:dyDescent="0.25">
      <c r="A23" s="25"/>
      <c r="B23" s="21"/>
    </row>
    <row r="24" spans="1:3" x14ac:dyDescent="0.25">
      <c r="A24" s="25" t="s">
        <v>44</v>
      </c>
      <c r="B24" s="21">
        <v>48000</v>
      </c>
    </row>
    <row r="25" spans="1:3" x14ac:dyDescent="0.25">
      <c r="A25" s="30" t="s">
        <v>45</v>
      </c>
      <c r="B25" s="31">
        <f>B22-B24</f>
        <v>392000</v>
      </c>
    </row>
    <row r="26" spans="1:3" x14ac:dyDescent="0.25">
      <c r="A26" s="26"/>
      <c r="B26" s="21"/>
    </row>
    <row r="27" spans="1:3" x14ac:dyDescent="0.25">
      <c r="A27" s="25" t="s">
        <v>46</v>
      </c>
      <c r="B27" s="21">
        <v>45000</v>
      </c>
    </row>
    <row r="28" spans="1:3" x14ac:dyDescent="0.25">
      <c r="A28" s="30" t="s">
        <v>47</v>
      </c>
      <c r="B28" s="31">
        <f>B25-B27</f>
        <v>347000</v>
      </c>
    </row>
    <row r="29" spans="1:3" x14ac:dyDescent="0.25">
      <c r="A2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724F-1196-4210-85B2-989BB1BFBEC5}">
  <dimension ref="A1:G32"/>
  <sheetViews>
    <sheetView workbookViewId="0">
      <selection activeCell="D28" sqref="D28"/>
    </sheetView>
  </sheetViews>
  <sheetFormatPr defaultRowHeight="15" x14ac:dyDescent="0.25"/>
  <cols>
    <col min="1" max="1" width="45.85546875" customWidth="1"/>
    <col min="2" max="2" width="19.140625" customWidth="1"/>
    <col min="3" max="4" width="11.5703125" bestFit="1" customWidth="1"/>
    <col min="5" max="7" width="8.5703125" bestFit="1" customWidth="1"/>
  </cols>
  <sheetData>
    <row r="1" spans="1:7" x14ac:dyDescent="0.25">
      <c r="A1" s="32" t="s">
        <v>63</v>
      </c>
      <c r="B1" s="32">
        <v>2024</v>
      </c>
      <c r="C1" s="18"/>
      <c r="D1" s="18"/>
      <c r="E1" s="18"/>
      <c r="F1" s="18"/>
      <c r="G1" s="18"/>
    </row>
    <row r="2" spans="1:7" x14ac:dyDescent="0.25">
      <c r="A2" t="s">
        <v>49</v>
      </c>
      <c r="B2" s="19">
        <f>('Profit Loss St.'!B6-'Profit Loss St.'!B12)/'Profit Loss St.'!B6</f>
        <v>0.75483091787439616</v>
      </c>
      <c r="C2" s="19"/>
      <c r="D2" s="19"/>
      <c r="E2" s="18"/>
      <c r="F2" s="18"/>
      <c r="G2" s="18"/>
    </row>
    <row r="3" spans="1:7" x14ac:dyDescent="0.25">
      <c r="A3" t="s">
        <v>50</v>
      </c>
      <c r="B3" s="16">
        <f>'Profit Loss St.'!B22/'Profit Loss St.'!B6</f>
        <v>0.53140096618357491</v>
      </c>
      <c r="C3" s="16"/>
      <c r="D3" s="16"/>
      <c r="E3" s="18"/>
      <c r="F3" s="18"/>
      <c r="G3" s="18"/>
    </row>
    <row r="4" spans="1:7" x14ac:dyDescent="0.25">
      <c r="A4" t="s">
        <v>51</v>
      </c>
      <c r="B4" s="16">
        <f>'Profit Loss St.'!B28/'Profit Loss St.'!B6</f>
        <v>0.41908212560386471</v>
      </c>
      <c r="C4" s="16"/>
      <c r="D4" s="16"/>
      <c r="E4" s="18"/>
      <c r="F4" s="18"/>
      <c r="G4" s="18"/>
    </row>
    <row r="5" spans="1:7" x14ac:dyDescent="0.25">
      <c r="A5" t="s">
        <v>52</v>
      </c>
      <c r="B5" s="17">
        <f>'Balance Sheet'!B6/'Balance Sheet'!B20</f>
        <v>1.3142857142857143</v>
      </c>
      <c r="C5" s="17"/>
      <c r="D5" s="17"/>
      <c r="E5" s="18"/>
      <c r="F5" s="18"/>
      <c r="G5" s="18"/>
    </row>
    <row r="6" spans="1:7" x14ac:dyDescent="0.25">
      <c r="A6" t="s">
        <v>53</v>
      </c>
      <c r="B6" s="17">
        <f>'Balance Sheet'!B24/'Balance Sheet'!B27</f>
        <v>0.95833333333333337</v>
      </c>
      <c r="C6" s="17"/>
      <c r="D6" s="17"/>
      <c r="E6" s="18"/>
      <c r="F6" s="18"/>
      <c r="G6" s="18"/>
    </row>
    <row r="7" spans="1:7" x14ac:dyDescent="0.25">
      <c r="A7" t="s">
        <v>54</v>
      </c>
      <c r="B7" s="36">
        <f>'Profit Loss St.'!B6/B14</f>
        <v>33120</v>
      </c>
      <c r="C7" s="20"/>
      <c r="D7" s="20"/>
      <c r="E7" s="18"/>
      <c r="F7" s="18"/>
      <c r="G7" s="18"/>
    </row>
    <row r="8" spans="1:7" x14ac:dyDescent="0.25">
      <c r="A8" t="s">
        <v>55</v>
      </c>
      <c r="B8" s="17">
        <f>'Profit Loss St.'!B22/'Profit Loss St.'!B24</f>
        <v>9.1666666666666661</v>
      </c>
      <c r="C8" s="17"/>
      <c r="D8" s="17"/>
      <c r="E8" s="18"/>
      <c r="F8" s="18"/>
      <c r="G8" s="18"/>
    </row>
    <row r="9" spans="1:7" x14ac:dyDescent="0.25">
      <c r="A9" t="s">
        <v>56</v>
      </c>
      <c r="B9" s="16">
        <f>'Profit Loss St.'!B27/'Profit Loss St.'!B25</f>
        <v>0.11479591836734694</v>
      </c>
      <c r="C9" s="16"/>
      <c r="D9" s="16"/>
      <c r="E9" s="18"/>
      <c r="F9" s="18"/>
      <c r="G9" s="18"/>
    </row>
    <row r="10" spans="1:7" x14ac:dyDescent="0.25">
      <c r="E10" s="16"/>
      <c r="F10" s="16"/>
      <c r="G10" s="16"/>
    </row>
    <row r="11" spans="1:7" x14ac:dyDescent="0.25">
      <c r="A11" s="33" t="s">
        <v>57</v>
      </c>
      <c r="B11" s="39">
        <v>2024</v>
      </c>
      <c r="E11" s="16"/>
      <c r="F11" s="16"/>
      <c r="G11" s="16"/>
    </row>
    <row r="12" spans="1:7" x14ac:dyDescent="0.25">
      <c r="A12" t="s">
        <v>58</v>
      </c>
      <c r="B12">
        <v>20</v>
      </c>
    </row>
    <row r="13" spans="1:7" x14ac:dyDescent="0.25">
      <c r="A13" t="s">
        <v>89</v>
      </c>
      <c r="B13">
        <v>5</v>
      </c>
    </row>
    <row r="14" spans="1:7" x14ac:dyDescent="0.25">
      <c r="A14" s="6" t="s">
        <v>59</v>
      </c>
      <c r="B14" s="6">
        <f>B13+B12</f>
        <v>25</v>
      </c>
    </row>
    <row r="15" spans="1:7" x14ac:dyDescent="0.25">
      <c r="A15" s="1"/>
      <c r="B15" s="1"/>
    </row>
    <row r="16" spans="1:7" x14ac:dyDescent="0.25">
      <c r="A16" s="1" t="s">
        <v>64</v>
      </c>
      <c r="B16" s="37">
        <v>25000</v>
      </c>
    </row>
    <row r="17" spans="1:4" x14ac:dyDescent="0.25">
      <c r="A17" s="1" t="s">
        <v>65</v>
      </c>
      <c r="B17">
        <v>7</v>
      </c>
    </row>
    <row r="19" spans="1:4" x14ac:dyDescent="0.25">
      <c r="A19" s="33" t="s">
        <v>68</v>
      </c>
      <c r="B19" s="38" t="s">
        <v>69</v>
      </c>
    </row>
    <row r="20" spans="1:4" x14ac:dyDescent="0.25">
      <c r="A20" s="41" t="s">
        <v>66</v>
      </c>
      <c r="B20" s="34">
        <v>0.75</v>
      </c>
    </row>
    <row r="21" spans="1:4" x14ac:dyDescent="0.25">
      <c r="A21" s="41" t="s">
        <v>67</v>
      </c>
      <c r="B21" s="34">
        <v>0.65</v>
      </c>
    </row>
    <row r="23" spans="1:4" x14ac:dyDescent="0.25">
      <c r="A23" s="33" t="s">
        <v>81</v>
      </c>
      <c r="B23" s="38" t="s">
        <v>90</v>
      </c>
    </row>
    <row r="24" spans="1:4" x14ac:dyDescent="0.25">
      <c r="A24" s="34" t="s">
        <v>82</v>
      </c>
      <c r="B24" s="43">
        <v>124200</v>
      </c>
    </row>
    <row r="25" spans="1:4" x14ac:dyDescent="0.25">
      <c r="A25" s="34" t="s">
        <v>83</v>
      </c>
      <c r="B25" s="43">
        <v>331200</v>
      </c>
    </row>
    <row r="26" spans="1:4" x14ac:dyDescent="0.25">
      <c r="A26" s="34" t="s">
        <v>84</v>
      </c>
      <c r="B26" s="43">
        <v>372600</v>
      </c>
    </row>
    <row r="28" spans="1:4" x14ac:dyDescent="0.25">
      <c r="A28" s="33" t="s">
        <v>96</v>
      </c>
      <c r="B28" s="38" t="s">
        <v>90</v>
      </c>
    </row>
    <row r="29" spans="1:4" x14ac:dyDescent="0.25">
      <c r="A29" t="s">
        <v>97</v>
      </c>
      <c r="B29" s="50">
        <v>1.9999999999999999E-6</v>
      </c>
    </row>
    <row r="30" spans="1:4" x14ac:dyDescent="0.25">
      <c r="A30" t="s">
        <v>98</v>
      </c>
      <c r="B30" s="50">
        <v>9.9999999999999995E-7</v>
      </c>
      <c r="D30" s="50"/>
    </row>
    <row r="31" spans="1:4" x14ac:dyDescent="0.25">
      <c r="A31" t="s">
        <v>99</v>
      </c>
      <c r="B31" s="50">
        <v>1.7999999999999999E-6</v>
      </c>
      <c r="D31" s="47"/>
    </row>
    <row r="32" spans="1:4" x14ac:dyDescent="0.25">
      <c r="A32" t="s">
        <v>100</v>
      </c>
      <c r="B32" s="46">
        <v>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99A6-1AEE-4CAC-A575-0583FEC0798F}">
  <dimension ref="A1:F7"/>
  <sheetViews>
    <sheetView tabSelected="1" workbookViewId="0">
      <selection activeCell="F3" sqref="F3:F4"/>
    </sheetView>
  </sheetViews>
  <sheetFormatPr defaultRowHeight="15" x14ac:dyDescent="0.25"/>
  <cols>
    <col min="2" max="2" width="40.85546875" customWidth="1"/>
    <col min="3" max="3" width="23.7109375" customWidth="1"/>
    <col min="4" max="4" width="24.7109375" customWidth="1"/>
    <col min="5" max="5" width="20" customWidth="1"/>
    <col min="6" max="6" width="50.28515625" customWidth="1"/>
  </cols>
  <sheetData>
    <row r="1" spans="1:6" ht="37.5" x14ac:dyDescent="0.25">
      <c r="A1" s="42" t="s">
        <v>101</v>
      </c>
      <c r="B1" s="42" t="s">
        <v>73</v>
      </c>
      <c r="C1" s="42" t="s">
        <v>74</v>
      </c>
      <c r="D1" s="42" t="s">
        <v>48</v>
      </c>
      <c r="E1" s="42" t="s">
        <v>75</v>
      </c>
      <c r="F1" s="42" t="s">
        <v>88</v>
      </c>
    </row>
    <row r="2" spans="1:6" ht="45" x14ac:dyDescent="0.25">
      <c r="A2" s="48">
        <v>1</v>
      </c>
      <c r="B2" s="40" t="s">
        <v>70</v>
      </c>
      <c r="C2" s="40" t="s">
        <v>76</v>
      </c>
      <c r="D2" s="40" t="s">
        <v>77</v>
      </c>
      <c r="E2" s="51">
        <f>('Ratios-Figure'!B24*'Ratios-Figure'!B21)+('Ratios-Figure'!B25*'Ratios-Figure'!B20)</f>
        <v>329130</v>
      </c>
      <c r="F2" s="55" t="s">
        <v>87</v>
      </c>
    </row>
    <row r="3" spans="1:6" ht="75" customHeight="1" x14ac:dyDescent="0.25">
      <c r="A3" s="49">
        <v>2</v>
      </c>
      <c r="B3" s="44" t="s">
        <v>92</v>
      </c>
      <c r="C3" s="44" t="s">
        <v>93</v>
      </c>
      <c r="D3" s="40" t="s">
        <v>94</v>
      </c>
      <c r="E3" s="52">
        <f>('Ratios-Figure'!B31/'Ratios-Figure'!B32)*100</f>
        <v>8.9999999999999993E-3</v>
      </c>
      <c r="F3" s="56" t="s">
        <v>103</v>
      </c>
    </row>
    <row r="4" spans="1:6" ht="30" x14ac:dyDescent="0.25">
      <c r="A4" s="49"/>
      <c r="B4" s="45"/>
      <c r="C4" s="45"/>
      <c r="D4" s="40" t="s">
        <v>95</v>
      </c>
      <c r="E4" s="52">
        <f>('Ratios-Figure'!B30/'Ratios-Figure'!B32)*100</f>
        <v>4.9999999999999992E-3</v>
      </c>
      <c r="F4" s="57"/>
    </row>
    <row r="5" spans="1:6" ht="30" x14ac:dyDescent="0.25">
      <c r="A5" s="49">
        <v>3</v>
      </c>
      <c r="B5" s="44" t="s">
        <v>71</v>
      </c>
      <c r="C5" s="44" t="s">
        <v>78</v>
      </c>
      <c r="D5" s="40" t="s">
        <v>86</v>
      </c>
      <c r="E5" s="53">
        <f>('Ratios-Figure'!B24/'Profit Loss St.'!B6)*100</f>
        <v>15</v>
      </c>
      <c r="F5" s="56" t="s">
        <v>102</v>
      </c>
    </row>
    <row r="6" spans="1:6" ht="30" x14ac:dyDescent="0.25">
      <c r="A6" s="49"/>
      <c r="B6" s="45"/>
      <c r="C6" s="45"/>
      <c r="D6" s="40" t="s">
        <v>85</v>
      </c>
      <c r="E6" s="53">
        <f>('Ratios-Figure'!B25/'Profit Loss St.'!B6*100)</f>
        <v>40</v>
      </c>
      <c r="F6" s="57"/>
    </row>
    <row r="7" spans="1:6" ht="60" x14ac:dyDescent="0.25">
      <c r="A7" s="48">
        <v>4</v>
      </c>
      <c r="B7" s="40" t="s">
        <v>72</v>
      </c>
      <c r="C7" s="40" t="s">
        <v>79</v>
      </c>
      <c r="D7" s="40" t="s">
        <v>80</v>
      </c>
      <c r="E7" s="54">
        <f>'Profit Loss St.'!B11/'Profit Loss St.'!B12</f>
        <v>0.39408866995073893</v>
      </c>
      <c r="F7" s="58" t="s">
        <v>91</v>
      </c>
    </row>
  </sheetData>
  <mergeCells count="8">
    <mergeCell ref="A3:A4"/>
    <mergeCell ref="A5:A6"/>
    <mergeCell ref="F3:F4"/>
    <mergeCell ref="F5:F6"/>
    <mergeCell ref="B5:B6"/>
    <mergeCell ref="C5:C6"/>
    <mergeCell ref="B3:B4"/>
    <mergeCell ref="C3: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Balance Sheet</vt:lpstr>
      <vt:lpstr>Profit Loss St.</vt:lpstr>
      <vt:lpstr>Ratios-Figure</vt:lpstr>
      <vt:lpstr>Answer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Ayesha Younis</dc:creator>
  <cp:keywords/>
  <dc:description/>
  <cp:lastModifiedBy>Ayesha Younis</cp:lastModifiedBy>
  <cp:revision/>
  <dcterms:created xsi:type="dcterms:W3CDTF">2025-03-20T05:07:05Z</dcterms:created>
  <dcterms:modified xsi:type="dcterms:W3CDTF">2025-04-10T17:49:00Z</dcterms:modified>
  <cp:category/>
  <cp:contentStatus/>
</cp:coreProperties>
</file>