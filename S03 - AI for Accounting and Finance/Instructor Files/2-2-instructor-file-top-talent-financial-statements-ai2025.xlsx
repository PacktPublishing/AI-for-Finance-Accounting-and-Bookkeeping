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D:\Axial Consulting\AI-in-accounting-and-finance\Course files\Module 2\"/>
    </mc:Choice>
  </mc:AlternateContent>
  <xr:revisionPtr revIDLastSave="0" documentId="13_ncr:1_{659A0B4D-3BCD-4562-958C-357DA992CCC4}" xr6:coauthVersionLast="47" xr6:coauthVersionMax="47" xr10:uidLastSave="{00000000-0000-0000-0000-000000000000}"/>
  <bookViews>
    <workbookView xWindow="-120" yWindow="-120" windowWidth="20730" windowHeight="11040" tabRatio="745" activeTab="1" xr2:uid="{E68D6459-25A7-4CFD-BF19-BCBD5676A429}"/>
  </bookViews>
  <sheets>
    <sheet name="Balance Sheet" sheetId="1" r:id="rId1"/>
    <sheet name="Profit Loss St." sheetId="2" r:id="rId2"/>
    <sheet name="Cashflow st." sheetId="3" r:id="rId3"/>
    <sheet name="Ratio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C2" i="5"/>
  <c r="D2" i="5"/>
  <c r="C3" i="5"/>
  <c r="D3" i="5"/>
  <c r="C4" i="5"/>
  <c r="D4" i="5"/>
  <c r="C5" i="5"/>
  <c r="D5" i="5"/>
  <c r="C6" i="5"/>
  <c r="D6" i="5"/>
  <c r="C7" i="5"/>
  <c r="D7" i="5"/>
  <c r="C8" i="5"/>
  <c r="D8" i="5"/>
  <c r="C9" i="5"/>
  <c r="D9" i="5"/>
  <c r="B9" i="5"/>
  <c r="B8" i="5"/>
  <c r="B7" i="5"/>
  <c r="B6" i="5"/>
  <c r="B5" i="5"/>
  <c r="B4" i="5"/>
  <c r="B3" i="5"/>
  <c r="B2" i="5"/>
  <c r="I2" i="5"/>
  <c r="J2" i="5"/>
  <c r="I3" i="5"/>
  <c r="J3" i="5"/>
  <c r="I4" i="5"/>
  <c r="J4" i="5"/>
  <c r="I5" i="5"/>
  <c r="J5" i="5"/>
  <c r="I6" i="5"/>
  <c r="J6" i="5"/>
  <c r="I7" i="5"/>
  <c r="J7" i="5"/>
  <c r="I8" i="5"/>
  <c r="J8" i="5"/>
  <c r="I9" i="5"/>
  <c r="J9" i="5"/>
  <c r="H9" i="5"/>
  <c r="H8" i="5"/>
  <c r="H7" i="5"/>
  <c r="H6" i="5"/>
  <c r="H5" i="5"/>
  <c r="H4" i="5"/>
  <c r="H3" i="5"/>
  <c r="H2" i="5"/>
  <c r="C24" i="3" l="1"/>
  <c r="D24" i="3"/>
  <c r="B24" i="3"/>
  <c r="C20" i="3"/>
  <c r="D20" i="3"/>
  <c r="B20" i="3"/>
  <c r="C8" i="3"/>
  <c r="D8" i="3"/>
  <c r="B8" i="3"/>
  <c r="C13" i="3"/>
  <c r="D13" i="3"/>
  <c r="B13" i="3"/>
  <c r="C23" i="1"/>
  <c r="D23" i="1"/>
  <c r="B23" i="1"/>
  <c r="C27" i="1"/>
  <c r="D27" i="1"/>
  <c r="B27" i="1"/>
  <c r="C20" i="1"/>
  <c r="D20" i="1"/>
  <c r="B20" i="1"/>
  <c r="C20" i="2"/>
  <c r="D20" i="2"/>
  <c r="B20" i="2"/>
  <c r="C12" i="2"/>
  <c r="D12" i="2"/>
  <c r="B12" i="2"/>
  <c r="C6" i="2"/>
  <c r="C14" i="2" s="1"/>
  <c r="D6" i="2"/>
  <c r="B6" i="2"/>
  <c r="C11" i="1"/>
  <c r="D11" i="1"/>
  <c r="B11" i="1"/>
  <c r="C6" i="1"/>
  <c r="D6" i="1"/>
  <c r="B6" i="1"/>
  <c r="B24" i="1" l="1"/>
  <c r="B29" i="1" s="1"/>
  <c r="D24" i="1"/>
  <c r="C24" i="1"/>
  <c r="C22" i="2"/>
  <c r="C25" i="2" s="1"/>
  <c r="B14" i="2"/>
  <c r="B22" i="2" s="1"/>
  <c r="B25" i="2" s="1"/>
  <c r="D14" i="2"/>
  <c r="D22" i="2" s="1"/>
  <c r="D25" i="2" s="1"/>
  <c r="D28" i="2" s="1"/>
  <c r="B12" i="1"/>
  <c r="D12" i="1"/>
  <c r="C12" i="1"/>
</calcChain>
</file>

<file path=xl/sharedStrings.xml><?xml version="1.0" encoding="utf-8"?>
<sst xmlns="http://schemas.openxmlformats.org/spreadsheetml/2006/main" count="111" uniqueCount="108">
  <si>
    <t>Assets</t>
  </si>
  <si>
    <t>Current Assets</t>
  </si>
  <si>
    <t>Cash &amp; Cash equivalents</t>
  </si>
  <si>
    <t>Receivables</t>
  </si>
  <si>
    <t>Prepaid expenses</t>
  </si>
  <si>
    <t>Total Current Assets</t>
  </si>
  <si>
    <t>Non-current assets</t>
  </si>
  <si>
    <t>Equipment</t>
  </si>
  <si>
    <t>Long-term investment</t>
  </si>
  <si>
    <t>Intangible assets</t>
  </si>
  <si>
    <t>Total Non-current assets</t>
  </si>
  <si>
    <t>TOTAL ASSETS</t>
  </si>
  <si>
    <t xml:space="preserve">Liabilities </t>
  </si>
  <si>
    <t>Current liabilities</t>
  </si>
  <si>
    <t>Accounts Payable</t>
  </si>
  <si>
    <t>Income Tax Payable</t>
  </si>
  <si>
    <t>Accrued Salaries</t>
  </si>
  <si>
    <t>Unearned Revenue</t>
  </si>
  <si>
    <t>Current Portion of Long-Term Debt</t>
  </si>
  <si>
    <t>Total Current Liabilities</t>
  </si>
  <si>
    <t>Long-Term Debt</t>
  </si>
  <si>
    <t>Other Long-Term Liabilities</t>
  </si>
  <si>
    <t>Total Long-Term Liabilities</t>
  </si>
  <si>
    <t>TOTAL LIABILITIES</t>
  </si>
  <si>
    <t>Owner's Investment</t>
  </si>
  <si>
    <t>Retained Earnings</t>
  </si>
  <si>
    <t>TOTAL OWNER'S EQUITY</t>
  </si>
  <si>
    <t>TOTAL LIABILITIES &amp; OWNER'S EQUITY</t>
  </si>
  <si>
    <t>Category</t>
  </si>
  <si>
    <t xml:space="preserve">Revenue </t>
  </si>
  <si>
    <t>Consulting services</t>
  </si>
  <si>
    <t>Software Licensing</t>
  </si>
  <si>
    <t>Training Services</t>
  </si>
  <si>
    <t>Total Revenue</t>
  </si>
  <si>
    <t>Cost of Revenue</t>
  </si>
  <si>
    <t>Software Hosting &amp; Maintenance Costs</t>
  </si>
  <si>
    <t>Software Development Expenses</t>
  </si>
  <si>
    <t>Consultant salaries</t>
  </si>
  <si>
    <t>Total Cost of Revenue</t>
  </si>
  <si>
    <t>Gross Profit</t>
  </si>
  <si>
    <t>Operating Expenses</t>
  </si>
  <si>
    <t>Support staff salaries</t>
  </si>
  <si>
    <t>Sales &amp; Marketing</t>
  </si>
  <si>
    <t>Customer Support &amp; Maintenance</t>
  </si>
  <si>
    <t>Depreciation &amp; Amortization</t>
  </si>
  <si>
    <t>Total Operating Expenses</t>
  </si>
  <si>
    <t>Operating Profit</t>
  </si>
  <si>
    <t>Interest &amp; Other Expenses</t>
  </si>
  <si>
    <t>Net Profit Before Tax</t>
  </si>
  <si>
    <t>Income Tax Expense</t>
  </si>
  <si>
    <t>Net Profit After Tax</t>
  </si>
  <si>
    <t>2024 (USD)</t>
  </si>
  <si>
    <t>2023 (USD)</t>
  </si>
  <si>
    <t>2022 (USD)</t>
  </si>
  <si>
    <t>Cash Flow from Operating Activities</t>
  </si>
  <si>
    <t>Changes in Accounts Receivable</t>
  </si>
  <si>
    <t>Changes in Accounts Payable</t>
  </si>
  <si>
    <t>Changes in Unearned Revenue</t>
  </si>
  <si>
    <t>Net Cash from Operating Activities</t>
  </si>
  <si>
    <t>Cash Flow from Investing Activities</t>
  </si>
  <si>
    <t>Capitalized Software Development Costs</t>
  </si>
  <si>
    <t>Purchase of Equipment</t>
  </si>
  <si>
    <t>Net Cash from Investing Activities</t>
  </si>
  <si>
    <t>Cash Flow from Financing Activities</t>
  </si>
  <si>
    <t>Loan Proceeds</t>
  </si>
  <si>
    <t>Loan Repayments</t>
  </si>
  <si>
    <t>Equity Issuance</t>
  </si>
  <si>
    <t>Dividend Payments</t>
  </si>
  <si>
    <t>Net Cash from Financing Activities</t>
  </si>
  <si>
    <t>Net Increase in Cash</t>
  </si>
  <si>
    <t>Beginning Cash Balance</t>
  </si>
  <si>
    <t>Ending Cash Balance</t>
  </si>
  <si>
    <t>Ratio or Figure</t>
  </si>
  <si>
    <t>Formula</t>
  </si>
  <si>
    <t>Good Benchmark</t>
  </si>
  <si>
    <t>Gross Profit Margin</t>
  </si>
  <si>
    <t>Operating Profit Margin (EBIT Margin)</t>
  </si>
  <si>
    <t>Net Profit Margin</t>
  </si>
  <si>
    <t>Current Ratio</t>
  </si>
  <si>
    <t>Current Assets / Current Liabilities</t>
  </si>
  <si>
    <t>Debt-to-Equity Ratio</t>
  </si>
  <si>
    <t>Below 1.0</t>
  </si>
  <si>
    <t>Revenue Per Employee</t>
  </si>
  <si>
    <t>Interest Coverage Ratio</t>
  </si>
  <si>
    <t>EBIT / Interest Expense</t>
  </si>
  <si>
    <t>Effective Tax Rate</t>
  </si>
  <si>
    <t>What does it measure</t>
  </si>
  <si>
    <t>(Revenue - Cost of Goods Sold) / Revenue</t>
  </si>
  <si>
    <t>Profitability before operating expenses</t>
  </si>
  <si>
    <t>50% or higher</t>
  </si>
  <si>
    <t>Operating Income / Revenue</t>
  </si>
  <si>
    <t>Profitability after operating expenses but before interest and taxes</t>
  </si>
  <si>
    <t>25% or higher</t>
  </si>
  <si>
    <t>Net Income / Revenue</t>
  </si>
  <si>
    <t>Overall profitability after all expenses</t>
  </si>
  <si>
    <t>15%-25%</t>
  </si>
  <si>
    <t>Liquidity and ability to cover short-term liabilities</t>
  </si>
  <si>
    <t>1.5 to 2.0</t>
  </si>
  <si>
    <t>Total Debt / Total Equity</t>
  </si>
  <si>
    <t>Financial leverage and capital structure</t>
  </si>
  <si>
    <t>Total Revenue / Number of Employees</t>
  </si>
  <si>
    <t>Productivity and efficiency of workforce</t>
  </si>
  <si>
    <t>Varies by industry</t>
  </si>
  <si>
    <t>Ability to cover interest payments</t>
  </si>
  <si>
    <t>3.0 or higher</t>
  </si>
  <si>
    <t>Tax Expense / Earnings Before Tax</t>
  </si>
  <si>
    <t>Percentage of earnings paid as tax</t>
  </si>
  <si>
    <t>Varies by jurisdiction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</si>
</sst>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/>
    <xf numFmtId="0" fontId="3" fillId="0" borderId="2" xfId="0" applyFont="1" applyBorder="1" applyAlignment="1">
      <alignment horizontal="right"/>
    </xf>
    <xf numFmtId="0" fontId="2" fillId="0" borderId="2" xfId="0" applyFont="1" applyBorder="1"/>
    <xf numFmtId="0" fontId="3" fillId="0" borderId="3" xfId="0" applyFont="1" applyBorder="1" applyAlignment="1">
      <alignment horizontal="right"/>
    </xf>
    <xf numFmtId="164" fontId="0" fillId="0" borderId="0" xfId="1" applyNumberFormat="1" applyFont="1"/>
    <xf numFmtId="164" fontId="2" fillId="0" borderId="0" xfId="1" applyNumberFormat="1" applyFont="1"/>
    <xf numFmtId="164" fontId="2" fillId="0" borderId="2" xfId="1" applyNumberFormat="1" applyFont="1" applyBorder="1"/>
    <xf numFmtId="164" fontId="0" fillId="0" borderId="2" xfId="1" applyNumberFormat="1" applyFont="1" applyBorder="1"/>
    <xf numFmtId="164" fontId="2" fillId="0" borderId="0" xfId="1" applyNumberFormat="1" applyFont="1" applyBorder="1"/>
    <xf numFmtId="164" fontId="0" fillId="0" borderId="0" xfId="0" applyNumberFormat="1"/>
    <xf numFmtId="0" fontId="3" fillId="2" borderId="2" xfId="0" applyFont="1" applyFill="1" applyBorder="1" applyAlignment="1">
      <alignment horizontal="right"/>
    </xf>
    <xf numFmtId="164" fontId="3" fillId="2" borderId="2" xfId="1" applyNumberFormat="1" applyFont="1" applyFill="1" applyBorder="1"/>
    <xf numFmtId="164" fontId="1" fillId="0" borderId="0" xfId="1" applyNumberFormat="1" applyFont="1"/>
    <xf numFmtId="164" fontId="2" fillId="0" borderId="1" xfId="1" applyNumberFormat="1" applyFont="1" applyBorder="1"/>
    <xf numFmtId="164" fontId="0" fillId="0" borderId="3" xfId="1" applyNumberFormat="1" applyFont="1" applyBorder="1"/>
    <xf numFmtId="0" fontId="3" fillId="2" borderId="0" xfId="0" applyFont="1" applyFill="1" applyAlignment="1">
      <alignment horizontal="right"/>
    </xf>
    <xf numFmtId="164" fontId="2" fillId="2" borderId="0" xfId="1" applyNumberFormat="1" applyFont="1" applyFill="1"/>
    <xf numFmtId="0" fontId="3" fillId="0" borderId="1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2" borderId="0" xfId="0" applyFont="1" applyFill="1"/>
    <xf numFmtId="9" fontId="0" fillId="0" borderId="0" xfId="2" applyFont="1"/>
    <xf numFmtId="0" fontId="2" fillId="0" borderId="4" xfId="0" applyFont="1" applyBorder="1" applyAlignment="1">
      <alignment horizontal="center" vertical="top"/>
    </xf>
    <xf numFmtId="2" fontId="0" fillId="0" borderId="0" xfId="0" applyNumberFormat="1"/>
    <xf numFmtId="0" fontId="4" fillId="0" borderId="0" xfId="0" applyFont="1"/>
    <xf numFmtId="10" fontId="0" fillId="0" borderId="0" xfId="2" applyNumberFormat="1" applyFont="1"/>
    <xf numFmtId="44" fontId="0" fillId="0" borderId="0" xfId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11123B-F982-4E98-B64A-3734594BFEF9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5BEB-512A-4C62-990C-829081E12542}">
  <dimension ref="A1:I30"/>
  <sheetViews>
    <sheetView topLeftCell="A11" workbookViewId="0">
      <selection activeCell="G18" sqref="G18"/>
    </sheetView>
  </sheetViews>
  <sheetFormatPr defaultRowHeight="15" x14ac:dyDescent="0.25"/>
  <cols>
    <col min="1" max="1" width="34.85546875" customWidth="1"/>
    <col min="2" max="2" width="14.28515625" bestFit="1" customWidth="1"/>
    <col min="3" max="4" width="12.5703125" bestFit="1" customWidth="1"/>
    <col min="6" max="6" width="14.85546875" customWidth="1"/>
  </cols>
  <sheetData>
    <row r="1" spans="1:9" x14ac:dyDescent="0.25">
      <c r="A1" s="23" t="s">
        <v>0</v>
      </c>
      <c r="B1" s="23">
        <v>2024</v>
      </c>
      <c r="C1" s="23">
        <v>2023</v>
      </c>
      <c r="D1" s="23">
        <v>2022</v>
      </c>
      <c r="F1" s="23"/>
      <c r="G1" s="23"/>
      <c r="I1" s="23"/>
    </row>
    <row r="2" spans="1:9" x14ac:dyDescent="0.25">
      <c r="A2" s="1" t="s">
        <v>1</v>
      </c>
    </row>
    <row r="3" spans="1:9" x14ac:dyDescent="0.25">
      <c r="A3" t="s">
        <v>2</v>
      </c>
      <c r="B3" s="8">
        <v>65000</v>
      </c>
      <c r="C3" s="8">
        <v>55000</v>
      </c>
      <c r="D3" s="8">
        <v>40000</v>
      </c>
      <c r="I3" s="24"/>
    </row>
    <row r="4" spans="1:9" x14ac:dyDescent="0.25">
      <c r="A4" t="s">
        <v>3</v>
      </c>
      <c r="B4" s="8">
        <v>25000</v>
      </c>
      <c r="C4" s="8">
        <v>20000</v>
      </c>
      <c r="D4" s="8">
        <v>18000</v>
      </c>
      <c r="I4" s="24"/>
    </row>
    <row r="5" spans="1:9" x14ac:dyDescent="0.25">
      <c r="A5" t="s">
        <v>4</v>
      </c>
      <c r="B5" s="8">
        <v>5000</v>
      </c>
      <c r="C5" s="8">
        <v>4500</v>
      </c>
      <c r="D5" s="8">
        <v>3800</v>
      </c>
    </row>
    <row r="6" spans="1:9" x14ac:dyDescent="0.25">
      <c r="A6" s="5" t="s">
        <v>5</v>
      </c>
      <c r="B6" s="11">
        <f>SUM(B2:B5)</f>
        <v>95000</v>
      </c>
      <c r="C6" s="11">
        <f>SUM(C2:C5)</f>
        <v>79500</v>
      </c>
      <c r="D6" s="11">
        <f>SUM(D2:D5)</f>
        <v>61800</v>
      </c>
    </row>
    <row r="7" spans="1:9" x14ac:dyDescent="0.25">
      <c r="A7" s="1" t="s">
        <v>6</v>
      </c>
      <c r="B7" s="8"/>
      <c r="C7" s="8"/>
      <c r="D7" s="8"/>
    </row>
    <row r="8" spans="1:9" x14ac:dyDescent="0.25">
      <c r="A8" t="s">
        <v>7</v>
      </c>
      <c r="B8" s="8">
        <v>15000</v>
      </c>
      <c r="C8" s="8">
        <v>12000</v>
      </c>
      <c r="D8" s="8">
        <v>10000</v>
      </c>
    </row>
    <row r="9" spans="1:9" x14ac:dyDescent="0.25">
      <c r="A9" t="s">
        <v>8</v>
      </c>
      <c r="B9" s="8">
        <v>10000</v>
      </c>
      <c r="C9" s="8">
        <v>10000</v>
      </c>
      <c r="D9" s="8">
        <v>8000</v>
      </c>
    </row>
    <row r="10" spans="1:9" x14ac:dyDescent="0.25">
      <c r="A10" t="s">
        <v>9</v>
      </c>
      <c r="B10" s="8">
        <v>650000</v>
      </c>
      <c r="C10" s="8">
        <v>600000</v>
      </c>
      <c r="D10" s="8">
        <v>500000</v>
      </c>
    </row>
    <row r="11" spans="1:9" x14ac:dyDescent="0.25">
      <c r="A11" s="7" t="s">
        <v>10</v>
      </c>
      <c r="B11" s="18">
        <f>SUM(B7:B10)</f>
        <v>675000</v>
      </c>
      <c r="C11" s="18">
        <f>SUM(C7:C10)</f>
        <v>622000</v>
      </c>
      <c r="D11" s="18">
        <f>SUM(D7:D10)</f>
        <v>518000</v>
      </c>
    </row>
    <row r="12" spans="1:9" ht="15.75" thickBot="1" x14ac:dyDescent="0.3">
      <c r="A12" s="4" t="s">
        <v>11</v>
      </c>
      <c r="B12" s="17">
        <f>B11+B6</f>
        <v>770000</v>
      </c>
      <c r="C12" s="17">
        <f>C11+C6</f>
        <v>701500</v>
      </c>
      <c r="D12" s="17">
        <f>D11+D6</f>
        <v>579800</v>
      </c>
    </row>
    <row r="13" spans="1:9" x14ac:dyDescent="0.25">
      <c r="A13" s="1" t="s">
        <v>12</v>
      </c>
    </row>
    <row r="14" spans="1:9" x14ac:dyDescent="0.25">
      <c r="A14" s="1" t="s">
        <v>13</v>
      </c>
    </row>
    <row r="15" spans="1:9" x14ac:dyDescent="0.25">
      <c r="A15" t="s">
        <v>14</v>
      </c>
      <c r="B15" s="8">
        <v>50000</v>
      </c>
      <c r="C15" s="8">
        <v>30000</v>
      </c>
      <c r="D15" s="8">
        <v>20000</v>
      </c>
    </row>
    <row r="16" spans="1:9" x14ac:dyDescent="0.25">
      <c r="A16" t="s">
        <v>15</v>
      </c>
      <c r="B16" s="8">
        <v>40000</v>
      </c>
      <c r="C16" s="8">
        <v>25000</v>
      </c>
      <c r="D16" s="8">
        <v>20000</v>
      </c>
    </row>
    <row r="17" spans="1:4" x14ac:dyDescent="0.25">
      <c r="A17" t="s">
        <v>16</v>
      </c>
      <c r="B17" s="8">
        <v>60000</v>
      </c>
      <c r="C17" s="8">
        <v>40000</v>
      </c>
      <c r="D17" s="8">
        <v>30000</v>
      </c>
    </row>
    <row r="18" spans="1:4" x14ac:dyDescent="0.25">
      <c r="A18" t="s">
        <v>17</v>
      </c>
      <c r="B18" s="8">
        <v>50000</v>
      </c>
      <c r="C18" s="8">
        <v>30000</v>
      </c>
      <c r="D18" s="8">
        <v>20000</v>
      </c>
    </row>
    <row r="19" spans="1:4" x14ac:dyDescent="0.25">
      <c r="A19" t="s">
        <v>18</v>
      </c>
      <c r="B19" s="8">
        <v>30000</v>
      </c>
      <c r="C19" s="8">
        <v>20000</v>
      </c>
      <c r="D19" s="8">
        <v>15000</v>
      </c>
    </row>
    <row r="20" spans="1:4" x14ac:dyDescent="0.25">
      <c r="A20" s="5" t="s">
        <v>19</v>
      </c>
      <c r="B20" s="10">
        <f>SUM(B15:B19)</f>
        <v>230000</v>
      </c>
      <c r="C20" s="10">
        <f t="shared" ref="C20:D20" si="0">SUM(C15:C19)</f>
        <v>145000</v>
      </c>
      <c r="D20" s="10">
        <f t="shared" si="0"/>
        <v>105000</v>
      </c>
    </row>
    <row r="21" spans="1:4" x14ac:dyDescent="0.25">
      <c r="A21" t="s">
        <v>20</v>
      </c>
      <c r="B21" s="8">
        <v>80000</v>
      </c>
      <c r="C21" s="8">
        <v>100000</v>
      </c>
      <c r="D21" s="8">
        <v>80000</v>
      </c>
    </row>
    <row r="22" spans="1:4" x14ac:dyDescent="0.25">
      <c r="A22" t="s">
        <v>21</v>
      </c>
      <c r="B22" s="8">
        <v>40000</v>
      </c>
      <c r="C22" s="8">
        <v>30000</v>
      </c>
      <c r="D22" s="8">
        <v>20000</v>
      </c>
    </row>
    <row r="23" spans="1:4" x14ac:dyDescent="0.25">
      <c r="A23" s="2" t="s">
        <v>22</v>
      </c>
      <c r="B23" s="9">
        <f>SUM(B21:B22)</f>
        <v>120000</v>
      </c>
      <c r="C23" s="9">
        <f t="shared" ref="C23:D23" si="1">SUM(C21:C22)</f>
        <v>130000</v>
      </c>
      <c r="D23" s="9">
        <f t="shared" si="1"/>
        <v>100000</v>
      </c>
    </row>
    <row r="24" spans="1:4" x14ac:dyDescent="0.25">
      <c r="A24" s="6" t="s">
        <v>23</v>
      </c>
      <c r="B24" s="10">
        <f>B23+B20</f>
        <v>350000</v>
      </c>
      <c r="C24" s="10">
        <f t="shared" ref="C24:D24" si="2">C23+C20</f>
        <v>275000</v>
      </c>
      <c r="D24" s="10">
        <f t="shared" si="2"/>
        <v>205000</v>
      </c>
    </row>
    <row r="25" spans="1:4" x14ac:dyDescent="0.25">
      <c r="A25" t="s">
        <v>24</v>
      </c>
      <c r="B25" s="8">
        <v>22000</v>
      </c>
      <c r="C25" s="8">
        <v>210000</v>
      </c>
      <c r="D25" s="8">
        <v>200000</v>
      </c>
    </row>
    <row r="26" spans="1:4" x14ac:dyDescent="0.25">
      <c r="A26" t="s">
        <v>25</v>
      </c>
      <c r="B26" s="8">
        <v>398000</v>
      </c>
      <c r="C26" s="8">
        <v>26500</v>
      </c>
      <c r="D26" s="8">
        <v>24800</v>
      </c>
    </row>
    <row r="27" spans="1:4" x14ac:dyDescent="0.25">
      <c r="A27" s="6" t="s">
        <v>26</v>
      </c>
      <c r="B27" s="10">
        <f>SUM(B25:B26)</f>
        <v>420000</v>
      </c>
      <c r="C27" s="10">
        <f t="shared" ref="C27:D27" si="3">SUM(C25:C26)</f>
        <v>236500</v>
      </c>
      <c r="D27" s="10">
        <f t="shared" si="3"/>
        <v>224800</v>
      </c>
    </row>
    <row r="29" spans="1:4" ht="15.75" thickBot="1" x14ac:dyDescent="0.3">
      <c r="A29" s="4" t="s">
        <v>27</v>
      </c>
      <c r="B29" s="17">
        <f>B27+B24</f>
        <v>770000</v>
      </c>
      <c r="C29" s="17">
        <v>701500</v>
      </c>
      <c r="D29" s="17">
        <v>579800</v>
      </c>
    </row>
    <row r="30" spans="1:4" x14ac:dyDescent="0.25">
      <c r="B3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DEDD-F280-4896-8410-185887690A8D}">
  <dimension ref="A1:F29"/>
  <sheetViews>
    <sheetView tabSelected="1" workbookViewId="0">
      <selection activeCell="H15" sqref="H15"/>
    </sheetView>
  </sheetViews>
  <sheetFormatPr defaultRowHeight="15" x14ac:dyDescent="0.25"/>
  <cols>
    <col min="1" max="1" width="36.5703125" customWidth="1"/>
    <col min="2" max="2" width="13.85546875" customWidth="1"/>
    <col min="3" max="3" width="12.28515625" customWidth="1"/>
    <col min="4" max="4" width="12" customWidth="1"/>
    <col min="5" max="5" width="10" bestFit="1" customWidth="1"/>
  </cols>
  <sheetData>
    <row r="1" spans="1:6" x14ac:dyDescent="0.25">
      <c r="A1" s="23" t="s">
        <v>28</v>
      </c>
      <c r="B1" s="23">
        <v>2024</v>
      </c>
      <c r="C1" s="23">
        <v>2023</v>
      </c>
      <c r="D1" s="23">
        <v>2022</v>
      </c>
    </row>
    <row r="2" spans="1:6" x14ac:dyDescent="0.25">
      <c r="A2" s="1" t="s">
        <v>29</v>
      </c>
      <c r="B2" s="8"/>
      <c r="C2" s="8"/>
      <c r="D2" s="8"/>
    </row>
    <row r="3" spans="1:6" x14ac:dyDescent="0.25">
      <c r="A3" t="s">
        <v>30</v>
      </c>
      <c r="B3" s="8">
        <v>500000</v>
      </c>
      <c r="C3" s="8">
        <v>400000</v>
      </c>
      <c r="D3" s="8">
        <v>350000</v>
      </c>
    </row>
    <row r="4" spans="1:6" x14ac:dyDescent="0.25">
      <c r="A4" t="s">
        <v>31</v>
      </c>
      <c r="B4" s="8">
        <v>600000</v>
      </c>
      <c r="C4" s="8">
        <v>450000</v>
      </c>
      <c r="D4" s="8">
        <v>350000</v>
      </c>
    </row>
    <row r="5" spans="1:6" x14ac:dyDescent="0.25">
      <c r="A5" t="s">
        <v>32</v>
      </c>
      <c r="B5" s="8">
        <v>230000</v>
      </c>
      <c r="C5" s="8">
        <v>120000</v>
      </c>
      <c r="D5" s="8">
        <v>0</v>
      </c>
    </row>
    <row r="6" spans="1:6" x14ac:dyDescent="0.25">
      <c r="A6" s="5" t="s">
        <v>33</v>
      </c>
      <c r="B6" s="10">
        <f>SUM(B3:B5)</f>
        <v>1330000</v>
      </c>
      <c r="C6" s="10">
        <f t="shared" ref="C6:D6" si="0">SUM(C3:C5)</f>
        <v>970000</v>
      </c>
      <c r="D6" s="10">
        <f t="shared" si="0"/>
        <v>700000</v>
      </c>
      <c r="F6" s="30">
        <f>500000/B6*100</f>
        <v>37.593984962406012</v>
      </c>
    </row>
    <row r="7" spans="1:6" x14ac:dyDescent="0.25">
      <c r="B7" s="8"/>
      <c r="C7" s="8"/>
      <c r="D7" s="8"/>
    </row>
    <row r="8" spans="1:6" x14ac:dyDescent="0.25">
      <c r="A8" s="1" t="s">
        <v>34</v>
      </c>
      <c r="B8" s="8"/>
      <c r="C8" s="8"/>
      <c r="D8" s="8"/>
    </row>
    <row r="9" spans="1:6" x14ac:dyDescent="0.25">
      <c r="A9" t="s">
        <v>35</v>
      </c>
      <c r="B9" s="8">
        <v>500000</v>
      </c>
      <c r="C9" s="8">
        <v>400000</v>
      </c>
      <c r="D9" s="8">
        <v>250000</v>
      </c>
    </row>
    <row r="10" spans="1:6" x14ac:dyDescent="0.25">
      <c r="A10" t="s">
        <v>36</v>
      </c>
      <c r="B10" s="8">
        <v>80000</v>
      </c>
      <c r="C10" s="8">
        <v>50000</v>
      </c>
      <c r="D10" s="8">
        <v>40000</v>
      </c>
    </row>
    <row r="11" spans="1:6" x14ac:dyDescent="0.25">
      <c r="A11" t="s">
        <v>37</v>
      </c>
      <c r="B11" s="8">
        <v>35000</v>
      </c>
      <c r="C11" s="8">
        <v>25000</v>
      </c>
      <c r="D11" s="8">
        <v>18000</v>
      </c>
    </row>
    <row r="12" spans="1:6" x14ac:dyDescent="0.25">
      <c r="A12" s="5" t="s">
        <v>38</v>
      </c>
      <c r="B12" s="10">
        <f>SUM(B9:B11)</f>
        <v>615000</v>
      </c>
      <c r="C12" s="10">
        <f t="shared" ref="C12:D12" si="1">SUM(C9:C11)</f>
        <v>475000</v>
      </c>
      <c r="D12" s="10">
        <f t="shared" si="1"/>
        <v>308000</v>
      </c>
    </row>
    <row r="13" spans="1:6" x14ac:dyDescent="0.25">
      <c r="A13" s="1"/>
      <c r="B13" s="12"/>
      <c r="C13" s="12"/>
      <c r="D13" s="12"/>
    </row>
    <row r="14" spans="1:6" x14ac:dyDescent="0.25">
      <c r="A14" s="19" t="s">
        <v>39</v>
      </c>
      <c r="B14" s="20">
        <f>B6-B12</f>
        <v>715000</v>
      </c>
      <c r="C14" s="20">
        <f t="shared" ref="C14:D14" si="2">C6-C12</f>
        <v>495000</v>
      </c>
      <c r="D14" s="20">
        <f t="shared" si="2"/>
        <v>392000</v>
      </c>
    </row>
    <row r="15" spans="1:6" x14ac:dyDescent="0.25">
      <c r="A15" s="1" t="s">
        <v>40</v>
      </c>
      <c r="B15" s="9"/>
      <c r="C15" s="9"/>
      <c r="D15" s="9"/>
    </row>
    <row r="16" spans="1:6" x14ac:dyDescent="0.25">
      <c r="A16" t="s">
        <v>41</v>
      </c>
      <c r="B16" s="8">
        <v>40000</v>
      </c>
      <c r="C16" s="16">
        <v>30000</v>
      </c>
      <c r="D16" s="16">
        <v>25000</v>
      </c>
    </row>
    <row r="17" spans="1:5" x14ac:dyDescent="0.25">
      <c r="A17" t="s">
        <v>42</v>
      </c>
      <c r="B17" s="8">
        <v>60000</v>
      </c>
      <c r="C17" s="8">
        <v>30000</v>
      </c>
      <c r="D17" s="8">
        <v>20000</v>
      </c>
    </row>
    <row r="18" spans="1:5" x14ac:dyDescent="0.25">
      <c r="A18" t="s">
        <v>43</v>
      </c>
      <c r="B18" s="8">
        <v>19000</v>
      </c>
      <c r="C18" s="8">
        <v>13000</v>
      </c>
      <c r="D18" s="8">
        <v>10000</v>
      </c>
    </row>
    <row r="19" spans="1:5" x14ac:dyDescent="0.25">
      <c r="A19" t="s">
        <v>44</v>
      </c>
      <c r="B19" s="8">
        <v>70000</v>
      </c>
      <c r="C19" s="8">
        <v>50000</v>
      </c>
      <c r="D19" s="8">
        <v>40000</v>
      </c>
    </row>
    <row r="20" spans="1:5" x14ac:dyDescent="0.25">
      <c r="A20" s="2" t="s">
        <v>45</v>
      </c>
      <c r="B20" s="9">
        <f>SUM(B16:B19)</f>
        <v>189000</v>
      </c>
      <c r="C20" s="9">
        <f t="shared" ref="C20:D20" si="3">SUM(C16:C19)</f>
        <v>123000</v>
      </c>
      <c r="D20" s="9">
        <f t="shared" si="3"/>
        <v>95000</v>
      </c>
    </row>
    <row r="21" spans="1:5" x14ac:dyDescent="0.25">
      <c r="A21" s="1"/>
      <c r="B21" s="8"/>
      <c r="C21" s="8"/>
      <c r="D21" s="8"/>
    </row>
    <row r="22" spans="1:5" x14ac:dyDescent="0.25">
      <c r="A22" s="2" t="s">
        <v>46</v>
      </c>
      <c r="B22" s="9">
        <f>B14-B20</f>
        <v>526000</v>
      </c>
      <c r="C22" s="9">
        <f>C14-C20</f>
        <v>372000</v>
      </c>
      <c r="D22" s="9">
        <f>D14-D20</f>
        <v>297000</v>
      </c>
      <c r="E22" s="13"/>
    </row>
    <row r="23" spans="1:5" x14ac:dyDescent="0.25">
      <c r="B23" s="8"/>
      <c r="C23" s="8"/>
      <c r="D23" s="8"/>
    </row>
    <row r="24" spans="1:5" x14ac:dyDescent="0.25">
      <c r="A24" t="s">
        <v>47</v>
      </c>
      <c r="B24" s="8">
        <v>30000</v>
      </c>
      <c r="C24" s="8">
        <v>25000</v>
      </c>
      <c r="D24" s="8">
        <v>15000</v>
      </c>
    </row>
    <row r="25" spans="1:5" x14ac:dyDescent="0.25">
      <c r="A25" s="2" t="s">
        <v>48</v>
      </c>
      <c r="B25" s="9">
        <f>B22-B24</f>
        <v>496000</v>
      </c>
      <c r="C25" s="9">
        <f t="shared" ref="C25:D25" si="4">C22-C24</f>
        <v>347000</v>
      </c>
      <c r="D25" s="9">
        <f t="shared" si="4"/>
        <v>282000</v>
      </c>
    </row>
    <row r="26" spans="1:5" x14ac:dyDescent="0.25">
      <c r="A26" s="3"/>
      <c r="B26" s="9"/>
      <c r="C26" s="9"/>
      <c r="D26" s="9"/>
    </row>
    <row r="27" spans="1:5" x14ac:dyDescent="0.25">
      <c r="A27" t="s">
        <v>49</v>
      </c>
      <c r="B27" s="8">
        <v>30000</v>
      </c>
      <c r="C27" s="8">
        <v>28000</v>
      </c>
      <c r="D27" s="8">
        <v>15000</v>
      </c>
    </row>
    <row r="28" spans="1:5" x14ac:dyDescent="0.25">
      <c r="A28" s="14" t="s">
        <v>50</v>
      </c>
      <c r="B28" s="15">
        <v>800000</v>
      </c>
      <c r="C28" s="15">
        <v>560000</v>
      </c>
      <c r="D28" s="15">
        <f>D25-D27</f>
        <v>267000</v>
      </c>
    </row>
    <row r="29" spans="1:5" x14ac:dyDescent="0.25">
      <c r="A2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2243-D6D8-41A0-8921-FCB5A89EBBB5}">
  <dimension ref="A1:D24"/>
  <sheetViews>
    <sheetView zoomScale="104" workbookViewId="0">
      <selection activeCell="F15" sqref="F15"/>
    </sheetView>
  </sheetViews>
  <sheetFormatPr defaultRowHeight="15" x14ac:dyDescent="0.25"/>
  <cols>
    <col min="1" max="1" width="36.5703125" customWidth="1"/>
    <col min="2" max="2" width="12.28515625" customWidth="1"/>
    <col min="3" max="3" width="10.5703125" customWidth="1"/>
    <col min="4" max="4" width="13.140625" customWidth="1"/>
  </cols>
  <sheetData>
    <row r="1" spans="1:4" x14ac:dyDescent="0.25">
      <c r="A1" s="22" t="s">
        <v>28</v>
      </c>
      <c r="B1" s="22" t="s">
        <v>51</v>
      </c>
      <c r="C1" s="22" t="s">
        <v>52</v>
      </c>
      <c r="D1" s="22" t="s">
        <v>53</v>
      </c>
    </row>
    <row r="2" spans="1:4" x14ac:dyDescent="0.25">
      <c r="A2" s="1" t="s">
        <v>54</v>
      </c>
    </row>
    <row r="3" spans="1:4" x14ac:dyDescent="0.25">
      <c r="A3" t="s">
        <v>50</v>
      </c>
      <c r="B3">
        <v>800000</v>
      </c>
      <c r="C3">
        <v>560000</v>
      </c>
      <c r="D3">
        <v>267000</v>
      </c>
    </row>
    <row r="4" spans="1:4" x14ac:dyDescent="0.25">
      <c r="A4" t="s">
        <v>44</v>
      </c>
      <c r="B4">
        <v>70000</v>
      </c>
      <c r="C4">
        <v>50000</v>
      </c>
      <c r="D4">
        <v>40000</v>
      </c>
    </row>
    <row r="5" spans="1:4" x14ac:dyDescent="0.25">
      <c r="A5" t="s">
        <v>55</v>
      </c>
      <c r="B5">
        <v>-5000</v>
      </c>
      <c r="C5">
        <v>-2000</v>
      </c>
      <c r="D5">
        <v>-1800</v>
      </c>
    </row>
    <row r="6" spans="1:4" x14ac:dyDescent="0.25">
      <c r="A6" t="s">
        <v>56</v>
      </c>
      <c r="B6">
        <v>20000</v>
      </c>
      <c r="C6">
        <v>10000</v>
      </c>
      <c r="D6">
        <v>8000</v>
      </c>
    </row>
    <row r="7" spans="1:4" x14ac:dyDescent="0.25">
      <c r="A7" t="s">
        <v>57</v>
      </c>
      <c r="B7">
        <v>20000</v>
      </c>
      <c r="C7">
        <v>10000</v>
      </c>
      <c r="D7">
        <v>8000</v>
      </c>
    </row>
    <row r="8" spans="1:4" x14ac:dyDescent="0.25">
      <c r="A8" s="5" t="s">
        <v>58</v>
      </c>
      <c r="B8" s="10">
        <f>SUM(B3:B7)</f>
        <v>905000</v>
      </c>
      <c r="C8" s="10">
        <f t="shared" ref="C8:D8" si="0">SUM(C3:C7)</f>
        <v>628000</v>
      </c>
      <c r="D8" s="10">
        <f t="shared" si="0"/>
        <v>321200</v>
      </c>
    </row>
    <row r="9" spans="1:4" x14ac:dyDescent="0.25">
      <c r="B9" s="8"/>
      <c r="C9" s="8"/>
      <c r="D9" s="8"/>
    </row>
    <row r="10" spans="1:4" x14ac:dyDescent="0.25">
      <c r="A10" s="1" t="s">
        <v>59</v>
      </c>
      <c r="B10" s="8"/>
      <c r="C10" s="8"/>
      <c r="D10" s="8"/>
    </row>
    <row r="11" spans="1:4" x14ac:dyDescent="0.25">
      <c r="A11" t="s">
        <v>60</v>
      </c>
      <c r="B11" s="8">
        <v>-80000</v>
      </c>
      <c r="C11" s="8">
        <v>-50000</v>
      </c>
      <c r="D11" s="8">
        <v>-40000</v>
      </c>
    </row>
    <row r="12" spans="1:4" x14ac:dyDescent="0.25">
      <c r="A12" t="s">
        <v>61</v>
      </c>
      <c r="B12" s="8">
        <v>-30000</v>
      </c>
      <c r="C12" s="8">
        <v>-20000</v>
      </c>
      <c r="D12" s="8">
        <v>-15000</v>
      </c>
    </row>
    <row r="13" spans="1:4" x14ac:dyDescent="0.25">
      <c r="A13" s="5" t="s">
        <v>62</v>
      </c>
      <c r="B13" s="10">
        <f>B12+B11</f>
        <v>-110000</v>
      </c>
      <c r="C13" s="10">
        <f t="shared" ref="C13:D13" si="1">C12+C11</f>
        <v>-70000</v>
      </c>
      <c r="D13" s="10">
        <f t="shared" si="1"/>
        <v>-55000</v>
      </c>
    </row>
    <row r="14" spans="1:4" x14ac:dyDescent="0.25">
      <c r="B14" s="8"/>
      <c r="C14" s="8"/>
      <c r="D14" s="8"/>
    </row>
    <row r="15" spans="1:4" x14ac:dyDescent="0.25">
      <c r="A15" s="1" t="s">
        <v>63</v>
      </c>
      <c r="B15" s="8"/>
      <c r="C15" s="8"/>
      <c r="D15" s="8"/>
    </row>
    <row r="16" spans="1:4" x14ac:dyDescent="0.25">
      <c r="A16" t="s">
        <v>64</v>
      </c>
      <c r="B16" s="8">
        <v>0</v>
      </c>
      <c r="C16" s="8">
        <v>0</v>
      </c>
      <c r="D16" s="8">
        <v>100000</v>
      </c>
    </row>
    <row r="17" spans="1:4" x14ac:dyDescent="0.25">
      <c r="A17" t="s">
        <v>65</v>
      </c>
      <c r="B17" s="8">
        <v>-50000</v>
      </c>
      <c r="C17" s="8">
        <v>-40000</v>
      </c>
      <c r="D17" s="8">
        <v>-30000</v>
      </c>
    </row>
    <row r="18" spans="1:4" x14ac:dyDescent="0.25">
      <c r="A18" t="s">
        <v>66</v>
      </c>
      <c r="B18" s="8">
        <v>22000</v>
      </c>
      <c r="C18" s="8">
        <v>210000</v>
      </c>
      <c r="D18" s="8">
        <v>200000</v>
      </c>
    </row>
    <row r="19" spans="1:4" x14ac:dyDescent="0.25">
      <c r="A19" t="s">
        <v>67</v>
      </c>
      <c r="B19" s="8">
        <v>-90000</v>
      </c>
      <c r="C19" s="8">
        <v>-70000</v>
      </c>
      <c r="D19" s="8">
        <v>-50000</v>
      </c>
    </row>
    <row r="20" spans="1:4" x14ac:dyDescent="0.25">
      <c r="A20" s="5" t="s">
        <v>68</v>
      </c>
      <c r="B20" s="10">
        <f>SUM(B16:B19)</f>
        <v>-118000</v>
      </c>
      <c r="C20" s="10">
        <f t="shared" ref="C20:D20" si="2">SUM(C16:C19)</f>
        <v>100000</v>
      </c>
      <c r="D20" s="10">
        <f t="shared" si="2"/>
        <v>220000</v>
      </c>
    </row>
    <row r="21" spans="1:4" x14ac:dyDescent="0.25">
      <c r="B21" s="8"/>
      <c r="C21" s="8"/>
      <c r="D21" s="8"/>
    </row>
    <row r="22" spans="1:4" x14ac:dyDescent="0.25">
      <c r="A22" t="s">
        <v>69</v>
      </c>
      <c r="B22" s="8">
        <v>677000</v>
      </c>
      <c r="C22" s="8">
        <v>658000</v>
      </c>
      <c r="D22" s="8">
        <v>486200</v>
      </c>
    </row>
    <row r="23" spans="1:4" x14ac:dyDescent="0.25">
      <c r="A23" t="s">
        <v>70</v>
      </c>
      <c r="B23" s="8">
        <v>55000</v>
      </c>
      <c r="C23" s="8">
        <v>40000</v>
      </c>
      <c r="D23" s="8">
        <v>20000</v>
      </c>
    </row>
    <row r="24" spans="1:4" ht="15.75" thickBot="1" x14ac:dyDescent="0.3">
      <c r="A24" s="21" t="s">
        <v>71</v>
      </c>
      <c r="B24" s="17">
        <f>B23+B22</f>
        <v>732000</v>
      </c>
      <c r="C24" s="17">
        <f t="shared" ref="C24:D24" si="3">C23+C22</f>
        <v>698000</v>
      </c>
      <c r="D24" s="17">
        <f t="shared" si="3"/>
        <v>506200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724F-1196-4210-85B2-989BB1BFBEC5}">
  <dimension ref="A1:J11"/>
  <sheetViews>
    <sheetView workbookViewId="0">
      <selection activeCell="D12" sqref="D12"/>
    </sheetView>
  </sheetViews>
  <sheetFormatPr defaultRowHeight="15" x14ac:dyDescent="0.25"/>
  <cols>
    <col min="1" max="1" width="34.42578125" bestFit="1" customWidth="1"/>
    <col min="2" max="4" width="11.5703125" bestFit="1" customWidth="1"/>
    <col min="5" max="5" width="38.5703125" customWidth="1"/>
    <col min="6" max="6" width="59.85546875" bestFit="1" customWidth="1"/>
    <col min="7" max="7" width="19.85546875" bestFit="1" customWidth="1"/>
    <col min="8" max="10" width="8.5703125" bestFit="1" customWidth="1"/>
  </cols>
  <sheetData>
    <row r="1" spans="1:10" x14ac:dyDescent="0.25">
      <c r="A1" s="25" t="s">
        <v>72</v>
      </c>
      <c r="B1" s="25">
        <v>2024</v>
      </c>
      <c r="C1" s="25">
        <v>2023</v>
      </c>
      <c r="D1" s="25">
        <v>2022</v>
      </c>
      <c r="E1" s="25" t="s">
        <v>73</v>
      </c>
      <c r="F1" s="25" t="s">
        <v>86</v>
      </c>
      <c r="G1" s="25" t="s">
        <v>74</v>
      </c>
      <c r="H1" s="27">
        <v>2024</v>
      </c>
      <c r="I1" s="27">
        <v>2023</v>
      </c>
      <c r="J1" s="27">
        <v>2022</v>
      </c>
    </row>
    <row r="2" spans="1:10" x14ac:dyDescent="0.25">
      <c r="A2" t="s">
        <v>75</v>
      </c>
      <c r="B2" s="28">
        <f>('Profit Loss St.'!B6-'Profit Loss St.'!B12)/'Profit Loss St.'!B6</f>
        <v>0.53759398496240607</v>
      </c>
      <c r="C2" s="28">
        <f>('Profit Loss St.'!C6-'Profit Loss St.'!C12)/'Profit Loss St.'!C6</f>
        <v>0.51030927835051543</v>
      </c>
      <c r="D2" s="28">
        <f>('Profit Loss St.'!D6-'Profit Loss St.'!D12)/'Profit Loss St.'!D6</f>
        <v>0.56000000000000005</v>
      </c>
      <c r="E2" t="s">
        <v>87</v>
      </c>
      <c r="F2" t="s">
        <v>88</v>
      </c>
      <c r="G2" t="s">
        <v>89</v>
      </c>
      <c r="H2" s="27">
        <f>('Profit Loss St.'!B6-'Profit Loss St.'!B12)/'Profit Loss St.'!B6</f>
        <v>0.53759398496240607</v>
      </c>
      <c r="I2" s="27">
        <f>('Profit Loss St.'!C6-'Profit Loss St.'!C12)/'Profit Loss St.'!C6</f>
        <v>0.51030927835051543</v>
      </c>
      <c r="J2" s="27">
        <f>('Profit Loss St.'!D6-'Profit Loss St.'!D12)/'Profit Loss St.'!D6</f>
        <v>0.56000000000000005</v>
      </c>
    </row>
    <row r="3" spans="1:10" x14ac:dyDescent="0.25">
      <c r="A3" t="s">
        <v>76</v>
      </c>
      <c r="B3" s="24">
        <f>'Profit Loss St.'!B22/'Profit Loss St.'!B6</f>
        <v>0.39548872180451128</v>
      </c>
      <c r="C3" s="24">
        <f>'Profit Loss St.'!C22/'Profit Loss St.'!C6</f>
        <v>0.38350515463917528</v>
      </c>
      <c r="D3" s="24">
        <f>'Profit Loss St.'!D22/'Profit Loss St.'!D6</f>
        <v>0.42428571428571427</v>
      </c>
      <c r="E3" t="s">
        <v>90</v>
      </c>
      <c r="F3" t="s">
        <v>91</v>
      </c>
      <c r="G3" t="s">
        <v>92</v>
      </c>
      <c r="H3" s="27">
        <f>'Profit Loss St.'!B22/'Profit Loss St.'!B6</f>
        <v>0.39548872180451128</v>
      </c>
      <c r="I3" s="27">
        <f>'Profit Loss St.'!C22/'Profit Loss St.'!C6</f>
        <v>0.38350515463917528</v>
      </c>
      <c r="J3" s="27">
        <f>'Profit Loss St.'!D22/'Profit Loss St.'!D6</f>
        <v>0.42428571428571427</v>
      </c>
    </row>
    <row r="4" spans="1:10" x14ac:dyDescent="0.25">
      <c r="A4" t="s">
        <v>77</v>
      </c>
      <c r="B4" s="24">
        <f>'Profit Loss St.'!B28/'Profit Loss St.'!B6</f>
        <v>0.60150375939849621</v>
      </c>
      <c r="C4" s="24">
        <f>'Profit Loss St.'!C28/'Profit Loss St.'!C6</f>
        <v>0.57731958762886593</v>
      </c>
      <c r="D4" s="24">
        <f>'Profit Loss St.'!D28/'Profit Loss St.'!D6</f>
        <v>0.38142857142857145</v>
      </c>
      <c r="E4" t="s">
        <v>93</v>
      </c>
      <c r="F4" t="s">
        <v>94</v>
      </c>
      <c r="G4" t="s">
        <v>95</v>
      </c>
      <c r="H4" s="27">
        <f>'Profit Loss St.'!B28/'Profit Loss St.'!B6</f>
        <v>0.60150375939849621</v>
      </c>
      <c r="I4" s="27">
        <f>'Profit Loss St.'!C28/'Profit Loss St.'!C6</f>
        <v>0.57731958762886593</v>
      </c>
      <c r="J4" s="27">
        <f>'Profit Loss St.'!D28/'Profit Loss St.'!D6</f>
        <v>0.38142857142857145</v>
      </c>
    </row>
    <row r="5" spans="1:10" x14ac:dyDescent="0.25">
      <c r="A5" t="s">
        <v>78</v>
      </c>
      <c r="B5" s="26">
        <f>'Balance Sheet'!B6/'Balance Sheet'!B20</f>
        <v>0.41304347826086957</v>
      </c>
      <c r="C5" s="26">
        <f>'Balance Sheet'!C6/'Balance Sheet'!C20</f>
        <v>0.5482758620689655</v>
      </c>
      <c r="D5" s="26">
        <f>'Balance Sheet'!D6/'Balance Sheet'!D20</f>
        <v>0.58857142857142852</v>
      </c>
      <c r="E5" t="s">
        <v>79</v>
      </c>
      <c r="F5" t="s">
        <v>96</v>
      </c>
      <c r="G5" t="s">
        <v>97</v>
      </c>
      <c r="H5" s="27">
        <f>'Balance Sheet'!B6/'Balance Sheet'!B20</f>
        <v>0.41304347826086957</v>
      </c>
      <c r="I5" s="27">
        <f>'Balance Sheet'!C6/'Balance Sheet'!C20</f>
        <v>0.5482758620689655</v>
      </c>
      <c r="J5" s="27">
        <f>'Balance Sheet'!D6/'Balance Sheet'!D20</f>
        <v>0.58857142857142852</v>
      </c>
    </row>
    <row r="6" spans="1:10" x14ac:dyDescent="0.25">
      <c r="A6" t="s">
        <v>80</v>
      </c>
      <c r="B6" s="26">
        <f>'Balance Sheet'!B24/'Balance Sheet'!B27</f>
        <v>0.83333333333333337</v>
      </c>
      <c r="C6" s="26">
        <f>'Balance Sheet'!C24/'Balance Sheet'!C27</f>
        <v>1.1627906976744187</v>
      </c>
      <c r="D6" s="26">
        <f>'Balance Sheet'!D24/'Balance Sheet'!D27</f>
        <v>0.91192170818505336</v>
      </c>
      <c r="E6" t="s">
        <v>98</v>
      </c>
      <c r="F6" t="s">
        <v>99</v>
      </c>
      <c r="G6" t="s">
        <v>81</v>
      </c>
      <c r="H6" s="27">
        <f>'Balance Sheet'!B24/'Balance Sheet'!B27</f>
        <v>0.83333333333333337</v>
      </c>
      <c r="I6" s="27">
        <f>'Balance Sheet'!C24/'Balance Sheet'!C27</f>
        <v>1.1627906976744187</v>
      </c>
      <c r="J6" s="27">
        <f>'Balance Sheet'!D24/'Balance Sheet'!D27</f>
        <v>0.91192170818505336</v>
      </c>
    </row>
    <row r="7" spans="1:10" x14ac:dyDescent="0.25">
      <c r="A7" t="s">
        <v>82</v>
      </c>
      <c r="B7" s="29">
        <f>'Profit Loss St.'!B6/15</f>
        <v>88666.666666666672</v>
      </c>
      <c r="C7" s="29">
        <f>'Profit Loss St.'!C6/15</f>
        <v>64666.666666666664</v>
      </c>
      <c r="D7" s="29">
        <f>'Profit Loss St.'!D6/15</f>
        <v>46666.666666666664</v>
      </c>
      <c r="E7" t="s">
        <v>100</v>
      </c>
      <c r="F7" t="s">
        <v>101</v>
      </c>
      <c r="G7" t="s">
        <v>102</v>
      </c>
      <c r="H7" s="27">
        <f>'Profit Loss St.'!B6/15</f>
        <v>88666.666666666672</v>
      </c>
      <c r="I7" s="27">
        <f>'Profit Loss St.'!C6/15</f>
        <v>64666.666666666664</v>
      </c>
      <c r="J7" s="27">
        <f>'Profit Loss St.'!D6/15</f>
        <v>46666.666666666664</v>
      </c>
    </row>
    <row r="8" spans="1:10" x14ac:dyDescent="0.25">
      <c r="A8" t="s">
        <v>83</v>
      </c>
      <c r="B8" s="26">
        <f>'Profit Loss St.'!B22/'Profit Loss St.'!B24</f>
        <v>17.533333333333335</v>
      </c>
      <c r="C8" s="26">
        <f>'Profit Loss St.'!C22/'Profit Loss St.'!C24</f>
        <v>14.88</v>
      </c>
      <c r="D8" s="26">
        <f>'Profit Loss St.'!D22/'Profit Loss St.'!D24</f>
        <v>19.8</v>
      </c>
      <c r="E8" t="s">
        <v>84</v>
      </c>
      <c r="F8" t="s">
        <v>103</v>
      </c>
      <c r="G8" t="s">
        <v>104</v>
      </c>
      <c r="H8" s="27">
        <f>'Profit Loss St.'!B22/'Profit Loss St.'!B24</f>
        <v>17.533333333333335</v>
      </c>
      <c r="I8" s="27">
        <f>'Profit Loss St.'!C22/'Profit Loss St.'!C24</f>
        <v>14.88</v>
      </c>
      <c r="J8" s="27">
        <f>'Profit Loss St.'!D22/'Profit Loss St.'!D24</f>
        <v>19.8</v>
      </c>
    </row>
    <row r="9" spans="1:10" x14ac:dyDescent="0.25">
      <c r="A9" t="s">
        <v>85</v>
      </c>
      <c r="B9" s="24">
        <f>'Profit Loss St.'!B27/'Profit Loss St.'!B25</f>
        <v>6.0483870967741937E-2</v>
      </c>
      <c r="C9" s="24">
        <f>'Profit Loss St.'!C27/'Profit Loss St.'!C25</f>
        <v>8.069164265129683E-2</v>
      </c>
      <c r="D9" s="24">
        <f>'Profit Loss St.'!D27/'Profit Loss St.'!D25</f>
        <v>5.3191489361702128E-2</v>
      </c>
      <c r="E9" t="s">
        <v>105</v>
      </c>
      <c r="F9" t="s">
        <v>106</v>
      </c>
      <c r="G9" t="s">
        <v>107</v>
      </c>
      <c r="H9" s="27">
        <f>'Profit Loss St.'!B27/'Profit Loss St.'!B25</f>
        <v>6.0483870967741937E-2</v>
      </c>
      <c r="I9" s="27">
        <f>'Profit Loss St.'!C27/'Profit Loss St.'!C25</f>
        <v>8.069164265129683E-2</v>
      </c>
      <c r="J9" s="27">
        <f>'Profit Loss St.'!D27/'Profit Loss St.'!D25</f>
        <v>5.3191489361702128E-2</v>
      </c>
    </row>
    <row r="10" spans="1:10" x14ac:dyDescent="0.25">
      <c r="H10" s="24"/>
      <c r="I10" s="24"/>
      <c r="J10" s="24"/>
    </row>
    <row r="11" spans="1:10" x14ac:dyDescent="0.25">
      <c r="H11" s="24"/>
      <c r="I11" s="24"/>
      <c r="J1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Profit Loss St.</vt:lpstr>
      <vt:lpstr>Cashflow st.</vt:lpstr>
      <vt:lpstr>Ratios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Ayesha Younis</dc:creator>
  <cp:keywords/>
  <dc:description/>
  <cp:lastModifiedBy>Ayesha Younis</cp:lastModifiedBy>
  <cp:revision/>
  <dcterms:created xsi:type="dcterms:W3CDTF">2025-03-20T05:07:05Z</dcterms:created>
  <dcterms:modified xsi:type="dcterms:W3CDTF">2025-04-02T12:24:28Z</dcterms:modified>
  <cp:category/>
  <cp:contentStatus/>
</cp:coreProperties>
</file>