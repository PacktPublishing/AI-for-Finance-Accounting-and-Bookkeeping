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xial Consulting\AI-in-accounting-and-finance\Course files\2-1\"/>
    </mc:Choice>
  </mc:AlternateContent>
  <xr:revisionPtr revIDLastSave="0" documentId="13_ncr:1_{57B0B29D-FA38-45D7-8232-CCB590BC7877}" xr6:coauthVersionLast="47" xr6:coauthVersionMax="47" xr10:uidLastSave="{00000000-0000-0000-0000-000000000000}"/>
  <bookViews>
    <workbookView xWindow="-120" yWindow="-120" windowWidth="20730" windowHeight="11040" xr2:uid="{B1B8E7A8-DBAD-4E17-908F-464FF37A01BB}"/>
  </bookViews>
  <sheets>
    <sheet name="AR Aging Repor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16" i="1"/>
  <c r="G20" i="1"/>
  <c r="G24" i="1"/>
  <c r="G2" i="1"/>
  <c r="F3" i="1"/>
  <c r="F4" i="1"/>
  <c r="F5" i="1"/>
  <c r="F6" i="1"/>
  <c r="F8" i="1"/>
  <c r="G8" i="1" s="1"/>
  <c r="F9" i="1"/>
  <c r="G9" i="1" s="1"/>
  <c r="F13" i="1"/>
  <c r="G13" i="1" s="1"/>
  <c r="F16" i="1"/>
  <c r="F20" i="1"/>
  <c r="F21" i="1"/>
  <c r="G21" i="1" s="1"/>
  <c r="F24" i="1"/>
  <c r="F2" i="1"/>
  <c r="D26" i="1"/>
  <c r="F26" i="1" s="1"/>
  <c r="G26" i="1" s="1"/>
  <c r="D27" i="1"/>
  <c r="F27" i="1" s="1"/>
  <c r="G27" i="1" s="1"/>
  <c r="D28" i="1"/>
  <c r="F28" i="1" s="1"/>
  <c r="G28" i="1" s="1"/>
  <c r="D25" i="1"/>
  <c r="F25" i="1" s="1"/>
  <c r="G25" i="1" s="1"/>
  <c r="D24" i="1"/>
  <c r="D23" i="1"/>
  <c r="F23" i="1" s="1"/>
  <c r="G23" i="1" s="1"/>
  <c r="D22" i="1"/>
  <c r="F22" i="1" s="1"/>
  <c r="G22" i="1" s="1"/>
  <c r="D19" i="1"/>
  <c r="F19" i="1" s="1"/>
  <c r="G19" i="1" s="1"/>
  <c r="D20" i="1"/>
  <c r="D21" i="1"/>
  <c r="D18" i="1"/>
  <c r="F18" i="1" s="1"/>
  <c r="G18" i="1" s="1"/>
  <c r="D17" i="1"/>
  <c r="F17" i="1" s="1"/>
  <c r="G17" i="1" s="1"/>
  <c r="D16" i="1"/>
  <c r="D15" i="1"/>
  <c r="F15" i="1" s="1"/>
  <c r="G15" i="1" s="1"/>
  <c r="D14" i="1"/>
  <c r="F14" i="1" s="1"/>
  <c r="G14" i="1" s="1"/>
  <c r="D12" i="1"/>
  <c r="F12" i="1" s="1"/>
  <c r="G12" i="1" s="1"/>
  <c r="D13" i="1"/>
  <c r="D9" i="1"/>
  <c r="D10" i="1"/>
  <c r="F10" i="1" s="1"/>
  <c r="G10" i="1" s="1"/>
  <c r="D11" i="1"/>
  <c r="F11" i="1" s="1"/>
  <c r="G11" i="1" s="1"/>
  <c r="D8" i="1"/>
  <c r="D7" i="1"/>
  <c r="F7" i="1" s="1"/>
  <c r="G7" i="1" s="1"/>
  <c r="A116" i="1"/>
</calcChain>
</file>

<file path=xl/sharedStrings.xml><?xml version="1.0" encoding="utf-8"?>
<sst xmlns="http://schemas.openxmlformats.org/spreadsheetml/2006/main" count="61" uniqueCount="50">
  <si>
    <t>Teens Co.</t>
  </si>
  <si>
    <t>Beta Ltd.</t>
  </si>
  <si>
    <t>Tech Co</t>
  </si>
  <si>
    <t>Tech Co.</t>
  </si>
  <si>
    <t>AA Construction</t>
  </si>
  <si>
    <t>Best BPO</t>
  </si>
  <si>
    <t>Ministry of Finance</t>
  </si>
  <si>
    <t>Alpha Co.</t>
  </si>
  <si>
    <t>Gamma Enterprise</t>
  </si>
  <si>
    <t>Move Inc.</t>
  </si>
  <si>
    <t>ABC Bank</t>
  </si>
  <si>
    <t>Alfred Bakers</t>
  </si>
  <si>
    <t>Bloom School</t>
  </si>
  <si>
    <t>NN Bank</t>
  </si>
  <si>
    <t>Flex Printers</t>
  </si>
  <si>
    <t>Ink Shop</t>
  </si>
  <si>
    <t>Invoice Amount</t>
  </si>
  <si>
    <t>Invoice ID</t>
  </si>
  <si>
    <t>Client Name</t>
  </si>
  <si>
    <t>Invoice Date</t>
  </si>
  <si>
    <t>INVOICE223</t>
  </si>
  <si>
    <t>INVOICE233</t>
  </si>
  <si>
    <t>INVOICE244</t>
  </si>
  <si>
    <t>INVOICE255</t>
  </si>
  <si>
    <t>INVOICE234</t>
  </si>
  <si>
    <t>INVOICE654</t>
  </si>
  <si>
    <t>INVOICE665</t>
  </si>
  <si>
    <t>INVOICE876</t>
  </si>
  <si>
    <t>INVOICE987</t>
  </si>
  <si>
    <t>INVOICE129</t>
  </si>
  <si>
    <t>INVOICE299</t>
  </si>
  <si>
    <t>INVOICE954</t>
  </si>
  <si>
    <t>INVOICE124</t>
  </si>
  <si>
    <t>INVOICE765</t>
  </si>
  <si>
    <t>INVOICE456</t>
  </si>
  <si>
    <t>INVOICE944</t>
  </si>
  <si>
    <t>INVOICE655</t>
  </si>
  <si>
    <t>INVOICE877</t>
  </si>
  <si>
    <t>INVOICE422</t>
  </si>
  <si>
    <t>INVOICE344</t>
  </si>
  <si>
    <t>INVOICE1976</t>
  </si>
  <si>
    <t>INVOICE7655</t>
  </si>
  <si>
    <t>INVOICE7754</t>
  </si>
  <si>
    <t>INVOICE2333</t>
  </si>
  <si>
    <t>INVOICE1234</t>
  </si>
  <si>
    <t>INVOICE6655</t>
  </si>
  <si>
    <t>INVOICE2773</t>
  </si>
  <si>
    <t>Amount Received</t>
  </si>
  <si>
    <t>Due Date</t>
  </si>
  <si>
    <t>Aging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</si>
</sst>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vertical="center"/>
    </xf>
    <xf numFmtId="164" fontId="0" fillId="0" borderId="0" xfId="1" applyNumberFormat="1" applyFont="1"/>
    <xf numFmtId="16" fontId="0" fillId="0" borderId="0" xfId="0" applyNumberFormat="1"/>
    <xf numFmtId="0" fontId="2" fillId="0" borderId="0" xfId="0" applyFont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2e72c8010b8abbb/Documents/Corrected_Cash_Flow_Report.xlsx" TargetMode="External"/><Relationship Id="rId1" Type="http://schemas.openxmlformats.org/officeDocument/2006/relationships/externalLinkPath" Target="https://d.docs.live.net/c2e72c8010b8abbb/Documents/Corrected_Cash_Flow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sh_Flow_Report"/>
      <sheetName val="Sheet1"/>
      <sheetName val="Sheet2"/>
      <sheetName val="Sheet3"/>
      <sheetName val="Sheet4"/>
      <sheetName val="Sheet6"/>
    </sheetNames>
    <sheetDataSet>
      <sheetData sheetId="0">
        <row r="17">
          <cell r="C17">
            <v>45673</v>
          </cell>
        </row>
        <row r="19">
          <cell r="C19">
            <v>45675</v>
          </cell>
        </row>
        <row r="34">
          <cell r="C34">
            <v>45701</v>
          </cell>
        </row>
        <row r="35">
          <cell r="C35">
            <v>45702</v>
          </cell>
        </row>
        <row r="36">
          <cell r="C36">
            <v>45703</v>
          </cell>
        </row>
        <row r="39">
          <cell r="C39">
            <v>45706</v>
          </cell>
        </row>
        <row r="40">
          <cell r="C40">
            <v>45707</v>
          </cell>
        </row>
        <row r="47">
          <cell r="C47">
            <v>45722</v>
          </cell>
        </row>
        <row r="51">
          <cell r="C51">
            <v>45726</v>
          </cell>
        </row>
        <row r="69">
          <cell r="C69">
            <v>45755</v>
          </cell>
        </row>
        <row r="71">
          <cell r="C71">
            <v>45757</v>
          </cell>
        </row>
        <row r="73">
          <cell r="C73">
            <v>45759</v>
          </cell>
        </row>
        <row r="78">
          <cell r="C78">
            <v>45764</v>
          </cell>
        </row>
        <row r="79">
          <cell r="C79">
            <v>45765</v>
          </cell>
        </row>
        <row r="80">
          <cell r="C80">
            <v>45766</v>
          </cell>
        </row>
        <row r="89">
          <cell r="C89">
            <v>45785</v>
          </cell>
        </row>
        <row r="91">
          <cell r="C91">
            <v>45787</v>
          </cell>
        </row>
        <row r="100">
          <cell r="C100">
            <v>45796</v>
          </cell>
        </row>
        <row r="112">
          <cell r="C112">
            <v>45819</v>
          </cell>
        </row>
        <row r="118">
          <cell r="C118">
            <v>45825</v>
          </cell>
        </row>
        <row r="119">
          <cell r="C119">
            <v>45826</v>
          </cell>
        </row>
        <row r="120">
          <cell r="C120">
            <v>45827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D57B-6A27-45F7-8A61-D602A98B81DC}">
  <dimension ref="A1:I116"/>
  <sheetViews>
    <sheetView tabSelected="1" workbookViewId="0">
      <selection activeCell="D7" sqref="D7"/>
    </sheetView>
  </sheetViews>
  <sheetFormatPr defaultRowHeight="15" x14ac:dyDescent="0.25"/>
  <cols>
    <col min="1" max="1" width="27.7109375" customWidth="1"/>
    <col min="2" max="2" width="12.85546875" customWidth="1"/>
    <col min="3" max="3" width="14.7109375" bestFit="1" customWidth="1"/>
    <col min="4" max="4" width="14.28515625" customWidth="1"/>
    <col min="5" max="5" width="18.28515625" customWidth="1"/>
    <col min="6" max="6" width="12" style="5" customWidth="1"/>
    <col min="7" max="7" width="18.140625" style="7" customWidth="1"/>
  </cols>
  <sheetData>
    <row r="1" spans="1:9" x14ac:dyDescent="0.25">
      <c r="A1" s="4" t="s">
        <v>18</v>
      </c>
      <c r="B1" s="4" t="s">
        <v>17</v>
      </c>
      <c r="C1" s="4" t="s">
        <v>16</v>
      </c>
      <c r="D1" s="4" t="s">
        <v>19</v>
      </c>
      <c r="E1" s="4" t="s">
        <v>47</v>
      </c>
      <c r="F1" s="4" t="s">
        <v>48</v>
      </c>
      <c r="G1" s="6" t="s">
        <v>49</v>
      </c>
    </row>
    <row r="2" spans="1:9" ht="15.75" x14ac:dyDescent="0.25">
      <c r="A2" s="1" t="s">
        <v>0</v>
      </c>
      <c r="B2" t="s">
        <v>20</v>
      </c>
      <c r="C2" s="2">
        <v>8000</v>
      </c>
      <c r="D2" s="3">
        <v>45662</v>
      </c>
      <c r="E2" s="2">
        <v>5000</v>
      </c>
      <c r="F2" s="3">
        <f>IF(A2="Ministry of Finance", D2+45, IF(A2="Tech Co.", D2+60, D2+30))</f>
        <v>45692</v>
      </c>
      <c r="G2" s="7" t="str">
        <f>IF(F2&gt;DATE(2025,5,30), "Current", IF(DATE(2025,5,30)-F2&lt;=30, "0-30 days", IF(DATE(2025,5,30)-F2&lt;=60, "31-60 days", IF(DATE(2025,5,30)-F2&lt;=90, "61-90 days", "90+ days"))))</f>
        <v>90+ days</v>
      </c>
      <c r="I2" s="3"/>
    </row>
    <row r="3" spans="1:9" ht="15.75" x14ac:dyDescent="0.25">
      <c r="A3" s="1" t="s">
        <v>1</v>
      </c>
      <c r="B3" t="s">
        <v>21</v>
      </c>
      <c r="C3" s="2">
        <v>10000</v>
      </c>
      <c r="D3" s="3">
        <v>45664</v>
      </c>
      <c r="E3" s="2">
        <v>8000</v>
      </c>
      <c r="F3" s="3">
        <f t="shared" ref="F3:F28" si="0">IF(A3="Ministry of Finance", D3+45, IF(A3="Tech Co.", D3+60, D3+30))</f>
        <v>45694</v>
      </c>
      <c r="G3" s="7" t="str">
        <f t="shared" ref="G3:G28" si="1">IF(F3&gt;DATE(2025,5,30), "Current", IF(DATE(2025,5,30)-F3&lt;=30, "0-30 days", IF(DATE(2025,5,30)-F3&lt;=60, "31-60 days", IF(DATE(2025,5,30)-F3&lt;=90, "61-90 days", "90+ days"))))</f>
        <v>90+ days</v>
      </c>
    </row>
    <row r="4" spans="1:9" ht="15.75" x14ac:dyDescent="0.25">
      <c r="A4" s="1" t="s">
        <v>2</v>
      </c>
      <c r="B4" t="s">
        <v>22</v>
      </c>
      <c r="C4" s="2">
        <v>1000</v>
      </c>
      <c r="D4" s="3">
        <v>45667</v>
      </c>
      <c r="E4" s="2">
        <v>0</v>
      </c>
      <c r="F4" s="3">
        <f t="shared" si="0"/>
        <v>45697</v>
      </c>
      <c r="G4" s="7" t="str">
        <f t="shared" si="1"/>
        <v>90+ days</v>
      </c>
    </row>
    <row r="5" spans="1:9" ht="15.75" x14ac:dyDescent="0.25">
      <c r="A5" s="1" t="s">
        <v>3</v>
      </c>
      <c r="B5" t="s">
        <v>23</v>
      </c>
      <c r="C5" s="2">
        <v>2000</v>
      </c>
      <c r="D5" s="3">
        <v>45669</v>
      </c>
      <c r="E5" s="2">
        <v>0</v>
      </c>
      <c r="F5" s="3">
        <f t="shared" si="0"/>
        <v>45729</v>
      </c>
      <c r="G5" s="7" t="str">
        <f t="shared" si="1"/>
        <v>61-90 days</v>
      </c>
    </row>
    <row r="6" spans="1:9" ht="15.75" x14ac:dyDescent="0.25">
      <c r="A6" s="1" t="s">
        <v>4</v>
      </c>
      <c r="B6" t="s">
        <v>24</v>
      </c>
      <c r="C6" s="2">
        <v>1500</v>
      </c>
      <c r="D6" s="3">
        <v>45671</v>
      </c>
      <c r="E6" s="2">
        <v>500</v>
      </c>
      <c r="F6" s="3">
        <f t="shared" si="0"/>
        <v>45701</v>
      </c>
      <c r="G6" s="7" t="str">
        <f t="shared" si="1"/>
        <v>90+ days</v>
      </c>
    </row>
    <row r="7" spans="1:9" ht="15.75" x14ac:dyDescent="0.25">
      <c r="A7" s="1" t="s">
        <v>5</v>
      </c>
      <c r="B7" t="s">
        <v>25</v>
      </c>
      <c r="C7" s="2">
        <v>15000</v>
      </c>
      <c r="D7" s="3">
        <f>[1]Cash_Flow_Report!$C$17</f>
        <v>45673</v>
      </c>
      <c r="E7" s="2">
        <v>2000</v>
      </c>
      <c r="F7" s="3">
        <f t="shared" si="0"/>
        <v>45703</v>
      </c>
      <c r="G7" s="7" t="str">
        <f t="shared" si="1"/>
        <v>90+ days</v>
      </c>
    </row>
    <row r="8" spans="1:9" ht="15.75" x14ac:dyDescent="0.25">
      <c r="A8" s="1" t="s">
        <v>6</v>
      </c>
      <c r="B8" t="s">
        <v>26</v>
      </c>
      <c r="C8" s="2">
        <v>1500</v>
      </c>
      <c r="D8" s="3">
        <f>[1]Cash_Flow_Report!$C$19</f>
        <v>45675</v>
      </c>
      <c r="E8" s="2">
        <v>250</v>
      </c>
      <c r="F8" s="3">
        <f t="shared" si="0"/>
        <v>45720</v>
      </c>
      <c r="G8" s="7" t="str">
        <f t="shared" si="1"/>
        <v>61-90 days</v>
      </c>
    </row>
    <row r="9" spans="1:9" ht="15.75" x14ac:dyDescent="0.25">
      <c r="A9" s="1" t="s">
        <v>6</v>
      </c>
      <c r="B9" t="s">
        <v>27</v>
      </c>
      <c r="C9" s="2">
        <v>8000</v>
      </c>
      <c r="D9" s="3">
        <f>[1]Cash_Flow_Report!C34</f>
        <v>45701</v>
      </c>
      <c r="E9" s="2">
        <v>4000</v>
      </c>
      <c r="F9" s="3">
        <f t="shared" si="0"/>
        <v>45746</v>
      </c>
      <c r="G9" s="7" t="str">
        <f t="shared" si="1"/>
        <v>61-90 days</v>
      </c>
    </row>
    <row r="10" spans="1:9" ht="15.75" x14ac:dyDescent="0.25">
      <c r="A10" s="1" t="s">
        <v>7</v>
      </c>
      <c r="B10" t="s">
        <v>28</v>
      </c>
      <c r="C10" s="2">
        <v>2000</v>
      </c>
      <c r="D10" s="3">
        <f>[1]Cash_Flow_Report!C35</f>
        <v>45702</v>
      </c>
      <c r="E10" s="2">
        <v>1000</v>
      </c>
      <c r="F10" s="3">
        <f t="shared" si="0"/>
        <v>45732</v>
      </c>
      <c r="G10" s="7" t="str">
        <f t="shared" si="1"/>
        <v>61-90 days</v>
      </c>
    </row>
    <row r="11" spans="1:9" ht="15.75" x14ac:dyDescent="0.25">
      <c r="A11" s="1" t="s">
        <v>8</v>
      </c>
      <c r="B11" t="s">
        <v>29</v>
      </c>
      <c r="C11" s="2">
        <v>9000</v>
      </c>
      <c r="D11" s="3">
        <f>[1]Cash_Flow_Report!C36</f>
        <v>45703</v>
      </c>
      <c r="E11" s="2">
        <v>8000</v>
      </c>
      <c r="F11" s="3">
        <f t="shared" si="0"/>
        <v>45733</v>
      </c>
      <c r="G11" s="7" t="str">
        <f t="shared" si="1"/>
        <v>61-90 days</v>
      </c>
    </row>
    <row r="12" spans="1:9" ht="15.75" x14ac:dyDescent="0.25">
      <c r="A12" s="1" t="s">
        <v>9</v>
      </c>
      <c r="B12" t="s">
        <v>30</v>
      </c>
      <c r="C12" s="2">
        <v>6500</v>
      </c>
      <c r="D12" s="3">
        <f>[1]Cash_Flow_Report!C39</f>
        <v>45706</v>
      </c>
      <c r="E12" s="2">
        <v>500</v>
      </c>
      <c r="F12" s="3">
        <f t="shared" si="0"/>
        <v>45736</v>
      </c>
      <c r="G12" s="7" t="str">
        <f t="shared" si="1"/>
        <v>61-90 days</v>
      </c>
    </row>
    <row r="13" spans="1:9" ht="15.75" x14ac:dyDescent="0.25">
      <c r="A13" s="1" t="s">
        <v>1</v>
      </c>
      <c r="B13" t="s">
        <v>31</v>
      </c>
      <c r="C13" s="2">
        <v>5600</v>
      </c>
      <c r="D13" s="3">
        <f>[1]Cash_Flow_Report!C40</f>
        <v>45707</v>
      </c>
      <c r="E13" s="2">
        <v>5000</v>
      </c>
      <c r="F13" s="3">
        <f t="shared" si="0"/>
        <v>45737</v>
      </c>
      <c r="G13" s="7" t="str">
        <f t="shared" si="1"/>
        <v>61-90 days</v>
      </c>
    </row>
    <row r="14" spans="1:9" ht="15.75" x14ac:dyDescent="0.25">
      <c r="A14" s="1" t="s">
        <v>9</v>
      </c>
      <c r="B14" t="s">
        <v>32</v>
      </c>
      <c r="C14" s="2">
        <v>20000</v>
      </c>
      <c r="D14" s="3">
        <f>[1]Cash_Flow_Report!$C$47</f>
        <v>45722</v>
      </c>
      <c r="E14" s="2">
        <v>15000</v>
      </c>
      <c r="F14" s="3">
        <f t="shared" si="0"/>
        <v>45752</v>
      </c>
      <c r="G14" s="7" t="str">
        <f t="shared" si="1"/>
        <v>31-60 days</v>
      </c>
    </row>
    <row r="15" spans="1:9" ht="15.75" x14ac:dyDescent="0.25">
      <c r="A15" s="1" t="s">
        <v>1</v>
      </c>
      <c r="B15" t="s">
        <v>33</v>
      </c>
      <c r="C15" s="2">
        <v>4000</v>
      </c>
      <c r="D15" s="3">
        <f>[1]Cash_Flow_Report!$C$51</f>
        <v>45726</v>
      </c>
      <c r="E15" s="2">
        <v>2000</v>
      </c>
      <c r="F15" s="3">
        <f t="shared" si="0"/>
        <v>45756</v>
      </c>
      <c r="G15" s="7" t="str">
        <f t="shared" si="1"/>
        <v>31-60 days</v>
      </c>
    </row>
    <row r="16" spans="1:9" ht="15.75" x14ac:dyDescent="0.25">
      <c r="A16" s="1" t="s">
        <v>10</v>
      </c>
      <c r="B16" t="s">
        <v>34</v>
      </c>
      <c r="C16" s="2">
        <v>5500</v>
      </c>
      <c r="D16" s="3">
        <f>[1]Cash_Flow_Report!$C$69</f>
        <v>45755</v>
      </c>
      <c r="E16" s="2">
        <v>3000</v>
      </c>
      <c r="F16" s="3">
        <f t="shared" si="0"/>
        <v>45785</v>
      </c>
      <c r="G16" s="7" t="str">
        <f t="shared" si="1"/>
        <v>0-30 days</v>
      </c>
    </row>
    <row r="17" spans="1:7" ht="15.75" x14ac:dyDescent="0.25">
      <c r="A17" s="1" t="s">
        <v>4</v>
      </c>
      <c r="B17" t="s">
        <v>35</v>
      </c>
      <c r="C17" s="2">
        <v>3000</v>
      </c>
      <c r="D17" s="3">
        <f>[1]Cash_Flow_Report!$C$71</f>
        <v>45757</v>
      </c>
      <c r="E17" s="2">
        <v>4100</v>
      </c>
      <c r="F17" s="3">
        <f t="shared" si="0"/>
        <v>45787</v>
      </c>
      <c r="G17" s="7" t="str">
        <f t="shared" si="1"/>
        <v>0-30 days</v>
      </c>
    </row>
    <row r="18" spans="1:7" ht="15.75" x14ac:dyDescent="0.25">
      <c r="A18" s="1" t="s">
        <v>3</v>
      </c>
      <c r="B18" t="s">
        <v>36</v>
      </c>
      <c r="C18" s="2">
        <v>8200</v>
      </c>
      <c r="D18" s="3">
        <f>[1]Cash_Flow_Report!$C$73</f>
        <v>45759</v>
      </c>
      <c r="E18" s="2">
        <v>2500</v>
      </c>
      <c r="F18" s="3">
        <f t="shared" si="0"/>
        <v>45819</v>
      </c>
      <c r="G18" s="7" t="str">
        <f t="shared" si="1"/>
        <v>Current</v>
      </c>
    </row>
    <row r="19" spans="1:7" ht="15.75" x14ac:dyDescent="0.25">
      <c r="A19" s="1" t="s">
        <v>3</v>
      </c>
      <c r="B19" t="s">
        <v>37</v>
      </c>
      <c r="C19" s="2">
        <v>4000</v>
      </c>
      <c r="D19" s="3">
        <f>[1]Cash_Flow_Report!C78</f>
        <v>45764</v>
      </c>
      <c r="E19" s="2">
        <v>2000</v>
      </c>
      <c r="F19" s="3">
        <f t="shared" si="0"/>
        <v>45824</v>
      </c>
      <c r="G19" s="7" t="str">
        <f t="shared" si="1"/>
        <v>Current</v>
      </c>
    </row>
    <row r="20" spans="1:7" ht="15.75" x14ac:dyDescent="0.25">
      <c r="A20" s="1" t="s">
        <v>9</v>
      </c>
      <c r="B20" t="s">
        <v>38</v>
      </c>
      <c r="C20" s="2">
        <v>9000</v>
      </c>
      <c r="D20" s="3">
        <f>[1]Cash_Flow_Report!C79</f>
        <v>45765</v>
      </c>
      <c r="E20" s="2">
        <v>4000</v>
      </c>
      <c r="F20" s="3">
        <f t="shared" si="0"/>
        <v>45795</v>
      </c>
      <c r="G20" s="7" t="str">
        <f t="shared" si="1"/>
        <v>0-30 days</v>
      </c>
    </row>
    <row r="21" spans="1:7" ht="15.75" x14ac:dyDescent="0.25">
      <c r="A21" s="1" t="s">
        <v>3</v>
      </c>
      <c r="B21" t="s">
        <v>39</v>
      </c>
      <c r="C21" s="2">
        <v>4000</v>
      </c>
      <c r="D21" s="3">
        <f>[1]Cash_Flow_Report!C80</f>
        <v>45766</v>
      </c>
      <c r="E21" s="2">
        <v>3000</v>
      </c>
      <c r="F21" s="3">
        <f t="shared" si="0"/>
        <v>45826</v>
      </c>
      <c r="G21" s="7" t="str">
        <f t="shared" si="1"/>
        <v>Current</v>
      </c>
    </row>
    <row r="22" spans="1:7" ht="15.75" x14ac:dyDescent="0.25">
      <c r="A22" s="1" t="s">
        <v>11</v>
      </c>
      <c r="B22" t="s">
        <v>40</v>
      </c>
      <c r="C22" s="2">
        <v>6000</v>
      </c>
      <c r="D22" s="3">
        <f>[1]Cash_Flow_Report!$C$89</f>
        <v>45785</v>
      </c>
      <c r="E22" s="2">
        <v>5000</v>
      </c>
      <c r="F22" s="3">
        <f t="shared" si="0"/>
        <v>45815</v>
      </c>
      <c r="G22" s="7" t="str">
        <f t="shared" si="1"/>
        <v>Current</v>
      </c>
    </row>
    <row r="23" spans="1:7" ht="15.75" x14ac:dyDescent="0.25">
      <c r="A23" s="1" t="s">
        <v>12</v>
      </c>
      <c r="B23" t="s">
        <v>41</v>
      </c>
      <c r="C23" s="2">
        <v>15000</v>
      </c>
      <c r="D23" s="3">
        <f>[1]Cash_Flow_Report!$C$91</f>
        <v>45787</v>
      </c>
      <c r="E23" s="2">
        <v>10000</v>
      </c>
      <c r="F23" s="3">
        <f t="shared" si="0"/>
        <v>45817</v>
      </c>
      <c r="G23" s="7" t="str">
        <f t="shared" si="1"/>
        <v>Current</v>
      </c>
    </row>
    <row r="24" spans="1:7" ht="15.75" x14ac:dyDescent="0.25">
      <c r="A24" s="1" t="s">
        <v>13</v>
      </c>
      <c r="B24" t="s">
        <v>42</v>
      </c>
      <c r="C24" s="2">
        <v>5000</v>
      </c>
      <c r="D24" s="3">
        <f>[1]Cash_Flow_Report!$C$100</f>
        <v>45796</v>
      </c>
      <c r="E24" s="2">
        <v>2000</v>
      </c>
      <c r="F24" s="3">
        <f t="shared" si="0"/>
        <v>45826</v>
      </c>
      <c r="G24" s="7" t="str">
        <f t="shared" si="1"/>
        <v>Current</v>
      </c>
    </row>
    <row r="25" spans="1:7" ht="15.75" x14ac:dyDescent="0.25">
      <c r="A25" s="1" t="s">
        <v>14</v>
      </c>
      <c r="B25" t="s">
        <v>43</v>
      </c>
      <c r="C25" s="2">
        <v>5300</v>
      </c>
      <c r="D25" s="3">
        <f>[1]Cash_Flow_Report!$C$112</f>
        <v>45819</v>
      </c>
      <c r="E25" s="2">
        <v>2500</v>
      </c>
      <c r="F25" s="3">
        <f t="shared" si="0"/>
        <v>45849</v>
      </c>
      <c r="G25" s="7" t="str">
        <f t="shared" si="1"/>
        <v>Current</v>
      </c>
    </row>
    <row r="26" spans="1:7" ht="15.75" x14ac:dyDescent="0.25">
      <c r="A26" s="1" t="s">
        <v>12</v>
      </c>
      <c r="B26" t="s">
        <v>44</v>
      </c>
      <c r="C26" s="2">
        <v>4000</v>
      </c>
      <c r="D26" s="3">
        <f>[1]Cash_Flow_Report!C118</f>
        <v>45825</v>
      </c>
      <c r="E26" s="2">
        <v>2000</v>
      </c>
      <c r="F26" s="3">
        <f t="shared" si="0"/>
        <v>45855</v>
      </c>
      <c r="G26" s="7" t="str">
        <f t="shared" si="1"/>
        <v>Current</v>
      </c>
    </row>
    <row r="27" spans="1:7" ht="15.75" x14ac:dyDescent="0.25">
      <c r="A27" s="1" t="s">
        <v>15</v>
      </c>
      <c r="B27" t="s">
        <v>45</v>
      </c>
      <c r="C27" s="2">
        <v>15000</v>
      </c>
      <c r="D27" s="3">
        <f>[1]Cash_Flow_Report!C119</f>
        <v>45826</v>
      </c>
      <c r="E27" s="2">
        <v>12000</v>
      </c>
      <c r="F27" s="3">
        <f t="shared" si="0"/>
        <v>45856</v>
      </c>
      <c r="G27" s="7" t="str">
        <f t="shared" si="1"/>
        <v>Current</v>
      </c>
    </row>
    <row r="28" spans="1:7" ht="15.75" x14ac:dyDescent="0.25">
      <c r="A28" s="1" t="s">
        <v>10</v>
      </c>
      <c r="B28" t="s">
        <v>46</v>
      </c>
      <c r="C28" s="2">
        <v>8000</v>
      </c>
      <c r="D28" s="3">
        <f>[1]Cash_Flow_Report!C120</f>
        <v>45827</v>
      </c>
      <c r="E28" s="2">
        <v>4000</v>
      </c>
      <c r="F28" s="3">
        <f t="shared" si="0"/>
        <v>45857</v>
      </c>
      <c r="G28" s="7" t="str">
        <f t="shared" si="1"/>
        <v>Current</v>
      </c>
    </row>
    <row r="116" spans="1:1" x14ac:dyDescent="0.25">
      <c r="A116" t="str">
        <f t="shared" ref="A116" si="2">IF(ISNUMBER(FIND("-", $D116)),TRIM(_xlfn.TEXTAFTER($D116,"-")),"")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Aging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Younis</dc:creator>
  <cp:lastModifiedBy>Ayesha Younis</cp:lastModifiedBy>
  <dcterms:created xsi:type="dcterms:W3CDTF">2025-03-19T15:28:55Z</dcterms:created>
  <dcterms:modified xsi:type="dcterms:W3CDTF">2025-03-29T07:26:10Z</dcterms:modified>
</cp:coreProperties>
</file>