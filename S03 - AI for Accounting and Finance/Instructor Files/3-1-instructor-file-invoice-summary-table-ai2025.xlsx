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xial Consulting\AI-in-accounting-and-finance\Course files\Module 3\"/>
    </mc:Choice>
  </mc:AlternateContent>
  <xr:revisionPtr revIDLastSave="0" documentId="13_ncr:9_{EB23B48A-0142-46F4-B3A3-992500B4463F}" xr6:coauthVersionLast="47" xr6:coauthVersionMax="47" xr10:uidLastSave="{00000000-0000-0000-0000-000000000000}"/>
  <bookViews>
    <workbookView xWindow="-120" yWindow="-120" windowWidth="20730" windowHeight="11040" xr2:uid="{BFF38405-80B3-42B2-B8BC-4A481330BD9C}"/>
  </bookViews>
  <sheets>
    <sheet name="3-1-invoice-summary-table" sheetId="1" r:id="rId1"/>
    <sheet name="Sheet1" sheetId="2" r:id="rId2"/>
    <sheet name="Sheet5" sheetId="6" r:id="rId3"/>
  </sheets>
  <calcPr calcId="0"/>
  <pivotCaches>
    <pivotCache cacheId="25" r:id="rId4"/>
  </pivotCaches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<sst xmlns="http://schemas.openxmlformats.org/spreadsheetml/2006/main" count="50" uniqueCount="29">
  <si>
    <t>Serial No</t>
  </si>
  <si>
    <t>Invoice Number</t>
  </si>
  <si>
    <t>Vendor Name</t>
  </si>
  <si>
    <t>Invoice Amount</t>
  </si>
  <si>
    <t>Invoice Date</t>
  </si>
  <si>
    <t>Due Date</t>
  </si>
  <si>
    <t>Payment Method</t>
  </si>
  <si>
    <t>Account Payable Bucket</t>
  </si>
  <si>
    <t>Beta Security Systems</t>
  </si>
  <si>
    <t>Cynthia Baker - 1125 2235 2234</t>
  </si>
  <si>
    <t>Not Due</t>
  </si>
  <si>
    <t>Edge Software House</t>
  </si>
  <si>
    <t>Edge Software - 0123 4567 8901</t>
  </si>
  <si>
    <t>Due Today</t>
  </si>
  <si>
    <t>Law Bros.</t>
  </si>
  <si>
    <t>Albert Frank - 123-456-7890</t>
  </si>
  <si>
    <t>Overdue</t>
  </si>
  <si>
    <t>Majestic Travels</t>
  </si>
  <si>
    <t>Majestic Travels - 443-456-0987</t>
  </si>
  <si>
    <t>Plumber Place</t>
  </si>
  <si>
    <t>Bill Timber</t>
  </si>
  <si>
    <t>Studio Arte (Samira Hadid)</t>
  </si>
  <si>
    <t>Royal Bank - 0123 4567 8901</t>
  </si>
  <si>
    <t>Morgan Maxwell</t>
  </si>
  <si>
    <t>Avery Davis - 0123 4567 8901</t>
  </si>
  <si>
    <t>TOTAL</t>
  </si>
  <si>
    <t>Sum of Invoice Amount</t>
  </si>
  <si>
    <t>Grand Total</t>
  </si>
  <si>
    <t>% of total ' Invoice Amount ' by 'Vendor Name'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</si>
</sst>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5" fontId="0" fillId="0" borderId="11" xfId="0" applyNumberFormat="1" applyBorder="1" applyAlignment="1">
      <alignment horizontal="center" vertical="center"/>
    </xf>
    <xf numFmtId="0" fontId="16" fillId="0" borderId="12" xfId="0" applyFont="1" applyBorder="1"/>
    <xf numFmtId="0" fontId="16" fillId="0" borderId="13" xfId="0" applyFont="1" applyBorder="1"/>
    <xf numFmtId="0" fontId="16" fillId="0" borderId="14" xfId="0" applyFont="1" applyBorder="1"/>
    <xf numFmtId="44" fontId="16" fillId="33" borderId="10" xfId="1" applyFont="1" applyFill="1" applyBorder="1" applyAlignment="1">
      <alignment horizontal="center" vertical="center" wrapText="1"/>
    </xf>
    <xf numFmtId="44" fontId="0" fillId="0" borderId="10" xfId="1" applyFont="1" applyBorder="1" applyAlignment="1">
      <alignment horizontal="center" vertical="center"/>
    </xf>
    <xf numFmtId="44" fontId="0" fillId="0" borderId="11" xfId="1" applyFont="1" applyBorder="1" applyAlignment="1">
      <alignment horizontal="center" vertical="center"/>
    </xf>
    <xf numFmtId="44" fontId="16" fillId="0" borderId="13" xfId="1" applyFont="1" applyBorder="1"/>
    <xf numFmtId="44" fontId="0" fillId="0" borderId="0" xfId="1" applyFont="1"/>
    <xf numFmtId="0" fontId="18" fillId="0" borderId="0" xfId="0" applyFont="1" applyAlignment="1">
      <alignment horizontal="left" vertical="center"/>
    </xf>
    <xf numFmtId="0" fontId="0" fillId="0" borderId="0" xfId="0" pivotButton="1"/>
    <xf numFmtId="1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[3-1-invoice-summary-table.xlsx]Sheet5!PivotTable1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' Invoice Amount ' by 'Vendor Name'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Sheet5!$C$5:$C$12</c:f>
              <c:strCache>
                <c:ptCount val="7"/>
                <c:pt idx="0">
                  <c:v>Law Bros.</c:v>
                </c:pt>
                <c:pt idx="1">
                  <c:v>Edge Software House</c:v>
                </c:pt>
                <c:pt idx="2">
                  <c:v>Studio Arte (Samira Hadid)</c:v>
                </c:pt>
                <c:pt idx="3">
                  <c:v>Majestic Travels</c:v>
                </c:pt>
                <c:pt idx="4">
                  <c:v>Beta Security Systems</c:v>
                </c:pt>
                <c:pt idx="5">
                  <c:v>Morgan Maxwell</c:v>
                </c:pt>
                <c:pt idx="6">
                  <c:v>Plumber Place</c:v>
                </c:pt>
              </c:strCache>
            </c:strRef>
          </c:cat>
          <c:val>
            <c:numRef>
              <c:f>Sheet5!$D$5:$D$12</c:f>
              <c:numCache>
                <c:formatCode>0.00%</c:formatCode>
                <c:ptCount val="7"/>
                <c:pt idx="0">
                  <c:v>0.30730243802976903</c:v>
                </c:pt>
                <c:pt idx="1">
                  <c:v>0.19577058635052869</c:v>
                </c:pt>
                <c:pt idx="2">
                  <c:v>0.1957414581573505</c:v>
                </c:pt>
                <c:pt idx="3">
                  <c:v>0.16515685532026447</c:v>
                </c:pt>
                <c:pt idx="4">
                  <c:v>7.6461507092715042E-2</c:v>
                </c:pt>
                <c:pt idx="5">
                  <c:v>3.2041012495994871E-2</c:v>
                </c:pt>
                <c:pt idx="6">
                  <c:v>2.7526142553377413E-2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F-4C10-84CA-49C0A9F90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140928304"/>
        <c:axId val="1140929264"/>
      </c:barChart>
      <c:catAx>
        <c:axId val="114092830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Vendor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29264"/>
        <c:crosses val="autoZero"/>
        <c:auto val="1"/>
        <c:lblAlgn val="ctr"/>
        <c:lblOffset val="100"/>
        <c:noMultiLvlLbl val="0"/>
      </c:catAx>
      <c:valAx>
        <c:axId val="114092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Invoice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2830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[3-1-invoice-summary-table.xlsx]Sheet5!PivotTable1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' Invoice Amount ' by 'Vendor Name'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Sheet5!$C$5:$C$12</c:f>
              <c:strCache>
                <c:ptCount val="7"/>
                <c:pt idx="0">
                  <c:v>Law Bros.</c:v>
                </c:pt>
                <c:pt idx="1">
                  <c:v>Edge Software House</c:v>
                </c:pt>
                <c:pt idx="2">
                  <c:v>Studio Arte (Samira Hadid)</c:v>
                </c:pt>
                <c:pt idx="3">
                  <c:v>Majestic Travels</c:v>
                </c:pt>
                <c:pt idx="4">
                  <c:v>Beta Security Systems</c:v>
                </c:pt>
                <c:pt idx="5">
                  <c:v>Morgan Maxwell</c:v>
                </c:pt>
                <c:pt idx="6">
                  <c:v>Plumber Place</c:v>
                </c:pt>
              </c:strCache>
            </c:strRef>
          </c:cat>
          <c:val>
            <c:numRef>
              <c:f>Sheet5!$D$5:$D$12</c:f>
              <c:numCache>
                <c:formatCode>0.00%</c:formatCode>
                <c:ptCount val="7"/>
                <c:pt idx="0">
                  <c:v>0.30730243802976903</c:v>
                </c:pt>
                <c:pt idx="1">
                  <c:v>0.19577058635052869</c:v>
                </c:pt>
                <c:pt idx="2">
                  <c:v>0.1957414581573505</c:v>
                </c:pt>
                <c:pt idx="3">
                  <c:v>0.16515685532026447</c:v>
                </c:pt>
                <c:pt idx="4">
                  <c:v>7.6461507092715042E-2</c:v>
                </c:pt>
                <c:pt idx="5">
                  <c:v>3.2041012495994871E-2</c:v>
                </c:pt>
                <c:pt idx="6">
                  <c:v>2.7526142553377413E-2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8-40EC-89DE-25DB37A56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140928304"/>
        <c:axId val="1140929264"/>
      </c:barChart>
      <c:catAx>
        <c:axId val="114092830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Vendor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29264"/>
        <c:crosses val="autoZero"/>
        <c:auto val="1"/>
        <c:lblAlgn val="ctr"/>
        <c:lblOffset val="100"/>
        <c:noMultiLvlLbl val="0"/>
      </c:catAx>
      <c:valAx>
        <c:axId val="114092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Invoice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2830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12</xdr:row>
      <xdr:rowOff>114300</xdr:rowOff>
    </xdr:from>
    <xdr:to>
      <xdr:col>4</xdr:col>
      <xdr:colOff>590550</xdr:colOff>
      <xdr:row>27</xdr:row>
      <xdr:rowOff>0</xdr:rowOff>
    </xdr:to>
    <xdr:graphicFrame macro="">
      <xdr:nvGraphicFramePr>
        <xdr:cNvPr id="2" name="Chart 1" descr="Chart type: Clustered Bar. Percentage of ' Invoice Amount ' by 'Vendor Name'&#10;&#10;Description automatically generated">
          <a:extLst>
            <a:ext uri="{FF2B5EF4-FFF2-40B4-BE49-F238E27FC236}">
              <a16:creationId xmlns:a16="http://schemas.microsoft.com/office/drawing/2014/main" id="{0286073F-1D98-4F31-BDA2-6936EC186A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17</xdr:row>
      <xdr:rowOff>76200</xdr:rowOff>
    </xdr:to>
    <xdr:graphicFrame macro="">
      <xdr:nvGraphicFramePr>
        <xdr:cNvPr id="2" name="Chart 1" descr="Chart type: Clustered Bar. Percentage of ' Invoice Amount ' by 'Vendor Name'&#10;&#10;Description automatically generated">
          <a:extLst>
            <a:ext uri="{FF2B5EF4-FFF2-40B4-BE49-F238E27FC236}">
              <a16:creationId xmlns:a16="http://schemas.microsoft.com/office/drawing/2014/main" id="{0AC9AF4E-798F-655F-A840-3B8D3CF03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750.818480671296" createdVersion="8" refreshedVersion="8" minRefreshableVersion="3" recordCount="10" xr:uid="{984ACBCE-CD4A-46D2-B75F-B14E9C6405E5}">
  <cacheSource type="worksheet">
    <worksheetSource ref="C1:D11" sheet="3-1-invoice-summary-table"/>
  </cacheSource>
  <cacheFields count="2">
    <cacheField name="Vendor Name" numFmtId="0">
      <sharedItems count="7">
        <s v="Beta Security Systems"/>
        <s v="Edge Software House"/>
        <s v="Law Bros."/>
        <s v="Majestic Travels"/>
        <s v="Plumber Place"/>
        <s v="Studio Arte (Samira Hadid)"/>
        <s v="Morgan Maxwell"/>
      </sharedItems>
    </cacheField>
    <cacheField name="Invoice Amount" numFmtId="44">
      <sharedItems containsSemiMixedTypes="0" containsString="0" containsNumber="1" minValue="157.5" maxValue="33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1312.5"/>
  </r>
  <r>
    <x v="1"/>
    <n v="3203"/>
  </r>
  <r>
    <x v="1"/>
    <n v="157.5"/>
  </r>
  <r>
    <x v="2"/>
    <n v="2650"/>
  </r>
  <r>
    <x v="2"/>
    <n v="2100"/>
  </r>
  <r>
    <x v="2"/>
    <n v="525"/>
  </r>
  <r>
    <x v="3"/>
    <n v="2835"/>
  </r>
  <r>
    <x v="4"/>
    <n v="472.5"/>
  </r>
  <r>
    <x v="5"/>
    <n v="3360"/>
  </r>
  <r>
    <x v="6"/>
    <n v="5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7B3E35-8E7E-414E-9A6F-C03092BD38E4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C4:D12" firstHeaderRow="1" firstDataRow="1" firstDataCol="1"/>
  <pivotFields count="2">
    <pivotField axis="axisRow" compact="0" outline="0" showAll="0" sortType="descending">
      <items count="8">
        <item x="0"/>
        <item x="1"/>
        <item x="2"/>
        <item x="3"/>
        <item x="6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44" outline="0" showAll="0"/>
  </pivotFields>
  <rowFields count="1">
    <field x="0"/>
  </rowFields>
  <rowItems count="8">
    <i>
      <x v="2"/>
    </i>
    <i>
      <x v="1"/>
    </i>
    <i>
      <x v="6"/>
    </i>
    <i>
      <x v="3"/>
    </i>
    <i>
      <x/>
    </i>
    <i>
      <x v="4"/>
    </i>
    <i>
      <x v="5"/>
    </i>
    <i t="grand">
      <x/>
    </i>
  </rowItems>
  <colItems count="1">
    <i/>
  </colItems>
  <dataFields count="1">
    <dataField name="Sum of Invoice Amount" fld="1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14A6-6E7B-4354-B664-FEF811738AA9}">
  <dimension ref="A1:H12"/>
  <sheetViews>
    <sheetView tabSelected="1" zoomScale="70" zoomScaleNormal="70" workbookViewId="0">
      <selection activeCell="G22" sqref="G22"/>
    </sheetView>
  </sheetViews>
  <sheetFormatPr defaultRowHeight="15" x14ac:dyDescent="0.25"/>
  <cols>
    <col min="2" max="2" width="13.7109375" customWidth="1"/>
    <col min="3" max="3" width="31.140625" customWidth="1"/>
    <col min="4" max="4" width="11.5703125" style="13" bestFit="1" customWidth="1"/>
    <col min="5" max="5" width="21.140625" customWidth="1"/>
    <col min="6" max="6" width="19.7109375" customWidth="1"/>
    <col min="7" max="7" width="36.140625" customWidth="1"/>
    <col min="8" max="8" width="27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9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>
        <v>123774</v>
      </c>
      <c r="C2" s="2" t="s">
        <v>8</v>
      </c>
      <c r="D2" s="10">
        <v>1312.5</v>
      </c>
      <c r="E2" s="3">
        <v>45728</v>
      </c>
      <c r="F2" s="3">
        <v>45759</v>
      </c>
      <c r="G2" s="2" t="s">
        <v>9</v>
      </c>
      <c r="H2" s="2" t="s">
        <v>10</v>
      </c>
    </row>
    <row r="3" spans="1:8" x14ac:dyDescent="0.25">
      <c r="A3" s="2">
        <v>2</v>
      </c>
      <c r="B3" s="2">
        <v>18910</v>
      </c>
      <c r="C3" s="2" t="s">
        <v>11</v>
      </c>
      <c r="D3" s="10">
        <v>3203</v>
      </c>
      <c r="E3" s="3">
        <v>45708</v>
      </c>
      <c r="F3" s="3">
        <v>45736</v>
      </c>
      <c r="G3" s="2" t="s">
        <v>12</v>
      </c>
      <c r="H3" s="2" t="s">
        <v>13</v>
      </c>
    </row>
    <row r="4" spans="1:8" x14ac:dyDescent="0.25">
      <c r="A4" s="2">
        <v>3</v>
      </c>
      <c r="B4" s="2">
        <v>18910</v>
      </c>
      <c r="C4" s="2" t="s">
        <v>11</v>
      </c>
      <c r="D4" s="10">
        <v>157.5</v>
      </c>
      <c r="E4" s="3">
        <v>45736</v>
      </c>
      <c r="F4" s="3">
        <v>45767</v>
      </c>
      <c r="G4" s="2" t="s">
        <v>12</v>
      </c>
      <c r="H4" s="2" t="s">
        <v>10</v>
      </c>
    </row>
    <row r="5" spans="1:8" x14ac:dyDescent="0.25">
      <c r="A5" s="2">
        <v>4</v>
      </c>
      <c r="B5" s="2">
        <v>1234</v>
      </c>
      <c r="C5" s="2" t="s">
        <v>14</v>
      </c>
      <c r="D5" s="10">
        <v>2650</v>
      </c>
      <c r="E5" s="3">
        <v>45689</v>
      </c>
      <c r="F5" s="3">
        <v>45703</v>
      </c>
      <c r="G5" s="2" t="s">
        <v>15</v>
      </c>
      <c r="H5" s="2" t="s">
        <v>16</v>
      </c>
    </row>
    <row r="6" spans="1:8" x14ac:dyDescent="0.25">
      <c r="A6" s="2">
        <v>5</v>
      </c>
      <c r="B6" s="2">
        <v>1234</v>
      </c>
      <c r="C6" s="2" t="s">
        <v>14</v>
      </c>
      <c r="D6" s="10">
        <v>2100</v>
      </c>
      <c r="E6" s="3">
        <v>45717</v>
      </c>
      <c r="F6" s="3">
        <v>45731</v>
      </c>
      <c r="G6" s="2" t="s">
        <v>15</v>
      </c>
      <c r="H6" s="2" t="s">
        <v>16</v>
      </c>
    </row>
    <row r="7" spans="1:8" x14ac:dyDescent="0.25">
      <c r="A7" s="2">
        <v>6</v>
      </c>
      <c r="B7" s="2">
        <v>1234</v>
      </c>
      <c r="C7" s="2" t="s">
        <v>14</v>
      </c>
      <c r="D7" s="10">
        <v>525</v>
      </c>
      <c r="E7" s="3">
        <v>45732</v>
      </c>
      <c r="F7" s="3">
        <v>45747</v>
      </c>
      <c r="G7" s="2" t="s">
        <v>15</v>
      </c>
      <c r="H7" s="2" t="s">
        <v>16</v>
      </c>
    </row>
    <row r="8" spans="1:8" x14ac:dyDescent="0.25">
      <c r="A8" s="2">
        <v>7</v>
      </c>
      <c r="B8" s="2">
        <v>112</v>
      </c>
      <c r="C8" s="2" t="s">
        <v>17</v>
      </c>
      <c r="D8" s="10">
        <v>2835</v>
      </c>
      <c r="E8" s="3">
        <v>45741</v>
      </c>
      <c r="F8" s="3">
        <v>45757</v>
      </c>
      <c r="G8" s="2" t="s">
        <v>18</v>
      </c>
      <c r="H8" s="2" t="s">
        <v>10</v>
      </c>
    </row>
    <row r="9" spans="1:8" x14ac:dyDescent="0.25">
      <c r="A9" s="2">
        <v>8</v>
      </c>
      <c r="B9" s="2">
        <v>112</v>
      </c>
      <c r="C9" s="2" t="s">
        <v>19</v>
      </c>
      <c r="D9" s="10">
        <v>472.5</v>
      </c>
      <c r="E9" s="3">
        <v>45731</v>
      </c>
      <c r="F9" s="3">
        <v>45777</v>
      </c>
      <c r="G9" s="2" t="s">
        <v>20</v>
      </c>
      <c r="H9" s="2" t="s">
        <v>10</v>
      </c>
    </row>
    <row r="10" spans="1:8" x14ac:dyDescent="0.25">
      <c r="A10" s="2">
        <v>9</v>
      </c>
      <c r="B10" s="2">
        <v>12345</v>
      </c>
      <c r="C10" s="2" t="s">
        <v>21</v>
      </c>
      <c r="D10" s="10">
        <v>3360</v>
      </c>
      <c r="E10" s="3">
        <v>45706</v>
      </c>
      <c r="F10" s="3">
        <f>E10+30</f>
        <v>45736</v>
      </c>
      <c r="G10" s="2" t="s">
        <v>22</v>
      </c>
      <c r="H10" s="2" t="s">
        <v>16</v>
      </c>
    </row>
    <row r="11" spans="1:8" ht="15.75" thickBot="1" x14ac:dyDescent="0.3">
      <c r="A11" s="4">
        <v>10</v>
      </c>
      <c r="B11" s="4">
        <v>25252</v>
      </c>
      <c r="C11" s="4" t="s">
        <v>23</v>
      </c>
      <c r="D11" s="11">
        <v>550</v>
      </c>
      <c r="E11" s="5">
        <v>45727</v>
      </c>
      <c r="F11" s="5">
        <v>45758</v>
      </c>
      <c r="G11" s="4" t="s">
        <v>24</v>
      </c>
      <c r="H11" s="4" t="s">
        <v>10</v>
      </c>
    </row>
    <row r="12" spans="1:8" ht="15.75" thickBot="1" x14ac:dyDescent="0.3">
      <c r="A12" s="6"/>
      <c r="B12" s="7"/>
      <c r="C12" s="7" t="s">
        <v>25</v>
      </c>
      <c r="D12" s="12">
        <v>17165.5</v>
      </c>
      <c r="E12" s="7"/>
      <c r="F12" s="7"/>
      <c r="G12" s="7"/>
      <c r="H12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02EBC-8FA0-49C0-AD52-CD7458C0CBC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CD8C-0FDE-46D5-A0F8-9B705933B8DC}">
  <dimension ref="B2:D12"/>
  <sheetViews>
    <sheetView showGridLines="0" workbookViewId="0">
      <selection activeCell="G20" sqref="G20"/>
    </sheetView>
  </sheetViews>
  <sheetFormatPr defaultRowHeight="15" x14ac:dyDescent="0.25"/>
  <cols>
    <col min="2" max="2" width="3.85546875" customWidth="1"/>
    <col min="3" max="3" width="24.7109375" bestFit="1" customWidth="1"/>
    <col min="4" max="4" width="22.140625" bestFit="1" customWidth="1"/>
  </cols>
  <sheetData>
    <row r="2" spans="2:4" x14ac:dyDescent="0.25">
      <c r="B2" s="14" t="s">
        <v>28</v>
      </c>
    </row>
    <row r="4" spans="2:4" x14ac:dyDescent="0.25">
      <c r="C4" s="15" t="s">
        <v>2</v>
      </c>
      <c r="D4" t="s">
        <v>26</v>
      </c>
    </row>
    <row r="5" spans="2:4" x14ac:dyDescent="0.25">
      <c r="C5" t="s">
        <v>14</v>
      </c>
      <c r="D5" s="16">
        <v>0.30730243802976903</v>
      </c>
    </row>
    <row r="6" spans="2:4" x14ac:dyDescent="0.25">
      <c r="C6" t="s">
        <v>11</v>
      </c>
      <c r="D6" s="16">
        <v>0.19577058635052869</v>
      </c>
    </row>
    <row r="7" spans="2:4" x14ac:dyDescent="0.25">
      <c r="C7" t="s">
        <v>21</v>
      </c>
      <c r="D7" s="16">
        <v>0.1957414581573505</v>
      </c>
    </row>
    <row r="8" spans="2:4" x14ac:dyDescent="0.25">
      <c r="C8" t="s">
        <v>17</v>
      </c>
      <c r="D8" s="16">
        <v>0.16515685532026447</v>
      </c>
    </row>
    <row r="9" spans="2:4" x14ac:dyDescent="0.25">
      <c r="C9" t="s">
        <v>8</v>
      </c>
      <c r="D9" s="16">
        <v>7.6461507092715042E-2</v>
      </c>
    </row>
    <row r="10" spans="2:4" x14ac:dyDescent="0.25">
      <c r="C10" t="s">
        <v>23</v>
      </c>
      <c r="D10" s="16">
        <v>3.2041012495994871E-2</v>
      </c>
    </row>
    <row r="11" spans="2:4" x14ac:dyDescent="0.25">
      <c r="C11" t="s">
        <v>19</v>
      </c>
      <c r="D11" s="16">
        <v>2.7526142553377413E-2</v>
      </c>
    </row>
    <row r="12" spans="2:4" x14ac:dyDescent="0.25">
      <c r="C12" t="s">
        <v>27</v>
      </c>
      <c r="D12" s="16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3-1-invoice-summary-table</vt:lpstr>
      <vt:lpstr>Sheet1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Ayesha Younis</cp:lastModifiedBy>
  <dcterms:created xsi:type="dcterms:W3CDTF">2025-04-03T14:18:35Z</dcterms:created>
  <dcterms:modified xsi:type="dcterms:W3CDTF">2025-04-03T15:29:40Z</dcterms:modified>
</cp:coreProperties>
</file>