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xial Consulting\AI-in-accounting-and-finance\Course files\2-1\"/>
    </mc:Choice>
  </mc:AlternateContent>
  <xr:revisionPtr revIDLastSave="0" documentId="13_ncr:1_{23432A30-F980-4E35-B2A3-5797591C01DB}" xr6:coauthVersionLast="47" xr6:coauthVersionMax="47" xr10:uidLastSave="{00000000-0000-0000-0000-000000000000}"/>
  <bookViews>
    <workbookView xWindow="-120" yWindow="-120" windowWidth="20730" windowHeight="11040" activeTab="5" xr2:uid="{0781B6ED-F821-42DF-A1C0-6D08B209A61A}"/>
  </bookViews>
  <sheets>
    <sheet name="Cash_Flow_Report" sheetId="1" r:id="rId1"/>
    <sheet name="Sheet1" sheetId="2" r:id="rId2"/>
    <sheet name="Sheet2" sheetId="3" r:id="rId3"/>
    <sheet name="Sheet3" sheetId="4" r:id="rId4"/>
    <sheet name="Sheet4" sheetId="5" r:id="rId5"/>
    <sheet name="Sheet6" sheetId="7" r:id="rId6"/>
  </sheets>
  <definedNames>
    <definedName name="_xlnm._FilterDatabase" localSheetId="0" hidden="1">Cash_Flow_Report!$A$1:$I$121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F40" i="1"/>
  <c r="E24" i="1"/>
  <c r="F24" i="1"/>
  <c r="E8" i="1"/>
  <c r="F8" i="1"/>
  <c r="F20" i="1"/>
  <c r="E20" i="1"/>
  <c r="E36" i="1"/>
  <c r="F36" i="1"/>
  <c r="E60" i="1"/>
  <c r="F60" i="1"/>
  <c r="E84" i="1"/>
  <c r="F84" i="1"/>
  <c r="E100" i="1"/>
  <c r="F100" i="1"/>
  <c r="F76" i="1"/>
  <c r="E76" i="1"/>
  <c r="F52" i="1"/>
  <c r="E52" i="1"/>
  <c r="F4" i="1"/>
  <c r="E4" i="1"/>
  <c r="E92" i="1"/>
  <c r="F92" i="1"/>
  <c r="E68" i="1"/>
  <c r="F68" i="1"/>
  <c r="E44" i="1"/>
  <c r="F44" i="1"/>
  <c r="E28" i="1"/>
  <c r="F28" i="1"/>
  <c r="E12" i="1"/>
  <c r="F12" i="1"/>
  <c r="F116" i="1"/>
  <c r="E116" i="1"/>
  <c r="F108" i="1"/>
  <c r="E108" i="1"/>
  <c r="F104" i="1"/>
  <c r="E104" i="1"/>
  <c r="F88" i="1"/>
  <c r="E88" i="1"/>
  <c r="F72" i="1"/>
  <c r="E72" i="1"/>
  <c r="F56" i="1"/>
  <c r="E56" i="1"/>
  <c r="F48" i="1"/>
  <c r="E48" i="1"/>
  <c r="F32" i="1"/>
  <c r="E32" i="1"/>
  <c r="F16" i="1"/>
  <c r="E16" i="1"/>
  <c r="E112" i="1"/>
  <c r="F112" i="1"/>
  <c r="E96" i="1"/>
  <c r="F96" i="1"/>
  <c r="E80" i="1"/>
  <c r="F80" i="1"/>
  <c r="E64" i="1"/>
  <c r="F64" i="1"/>
  <c r="E2" i="1"/>
  <c r="F2" i="1"/>
  <c r="E6" i="1"/>
  <c r="F6" i="1"/>
  <c r="E10" i="1"/>
  <c r="F10" i="1"/>
  <c r="E14" i="1"/>
  <c r="F14" i="1"/>
  <c r="E18" i="1"/>
  <c r="F18" i="1"/>
  <c r="E22" i="1"/>
  <c r="F22" i="1"/>
  <c r="E26" i="1"/>
  <c r="F26" i="1"/>
  <c r="E30" i="1"/>
  <c r="F30" i="1"/>
  <c r="E34" i="1"/>
  <c r="F34" i="1"/>
  <c r="E38" i="1"/>
  <c r="F38" i="1"/>
  <c r="E42" i="1"/>
  <c r="F42" i="1"/>
  <c r="E46" i="1"/>
  <c r="F46" i="1"/>
  <c r="E50" i="1"/>
  <c r="F50" i="1"/>
  <c r="E54" i="1"/>
  <c r="F54" i="1"/>
  <c r="E58" i="1"/>
  <c r="F58" i="1"/>
  <c r="E62" i="1"/>
  <c r="F62" i="1"/>
  <c r="E66" i="1"/>
  <c r="F66" i="1"/>
  <c r="E70" i="1"/>
  <c r="F70" i="1"/>
  <c r="E74" i="1"/>
  <c r="F74" i="1"/>
  <c r="E78" i="1"/>
  <c r="F78" i="1"/>
  <c r="E82" i="1"/>
  <c r="F82" i="1"/>
  <c r="E86" i="1"/>
  <c r="F86" i="1"/>
  <c r="E90" i="1"/>
  <c r="F90" i="1"/>
  <c r="E94" i="1"/>
  <c r="F94" i="1"/>
  <c r="E98" i="1"/>
  <c r="F98" i="1"/>
  <c r="E102" i="1"/>
  <c r="F102" i="1"/>
  <c r="E106" i="1"/>
  <c r="F106" i="1"/>
  <c r="E110" i="1"/>
  <c r="F110" i="1"/>
  <c r="E114" i="1"/>
  <c r="F114" i="1"/>
  <c r="E118" i="1"/>
  <c r="F118" i="1"/>
  <c r="E117" i="1"/>
  <c r="F117" i="1"/>
  <c r="E113" i="1"/>
  <c r="F113" i="1"/>
  <c r="E109" i="1"/>
  <c r="F109" i="1"/>
  <c r="E105" i="1"/>
  <c r="F105" i="1"/>
  <c r="E101" i="1"/>
  <c r="F101" i="1"/>
  <c r="E97" i="1"/>
  <c r="F97" i="1"/>
  <c r="E93" i="1"/>
  <c r="F93" i="1"/>
  <c r="E89" i="1"/>
  <c r="F89" i="1"/>
  <c r="E85" i="1"/>
  <c r="F85" i="1"/>
  <c r="E81" i="1"/>
  <c r="F81" i="1"/>
  <c r="E77" i="1"/>
  <c r="F77" i="1"/>
  <c r="E73" i="1"/>
  <c r="F73" i="1"/>
  <c r="E69" i="1"/>
  <c r="F69" i="1"/>
  <c r="E65" i="1"/>
  <c r="F65" i="1"/>
  <c r="E61" i="1"/>
  <c r="F61" i="1"/>
  <c r="E57" i="1"/>
  <c r="F57" i="1"/>
  <c r="E53" i="1"/>
  <c r="F53" i="1"/>
  <c r="E49" i="1"/>
  <c r="F49" i="1"/>
  <c r="E45" i="1"/>
  <c r="F45" i="1"/>
  <c r="E41" i="1"/>
  <c r="F41" i="1"/>
  <c r="E37" i="1"/>
  <c r="F37" i="1"/>
  <c r="E33" i="1"/>
  <c r="F33" i="1"/>
  <c r="E29" i="1"/>
  <c r="F29" i="1"/>
  <c r="E25" i="1"/>
  <c r="F25" i="1"/>
  <c r="E21" i="1"/>
  <c r="F21" i="1"/>
  <c r="E17" i="1"/>
  <c r="F17" i="1"/>
  <c r="E13" i="1"/>
  <c r="F13" i="1"/>
  <c r="E9" i="1"/>
  <c r="F9" i="1"/>
  <c r="E5" i="1"/>
  <c r="F5" i="1"/>
  <c r="E3" i="1"/>
  <c r="F3" i="1"/>
  <c r="E7" i="1"/>
  <c r="F7" i="1"/>
  <c r="E11" i="1"/>
  <c r="F11" i="1"/>
  <c r="E15" i="1"/>
  <c r="F15" i="1"/>
  <c r="E19" i="1"/>
  <c r="F19" i="1"/>
  <c r="E23" i="1"/>
  <c r="F23" i="1"/>
  <c r="E27" i="1"/>
  <c r="F27" i="1"/>
  <c r="E31" i="1"/>
  <c r="F31" i="1"/>
  <c r="E35" i="1"/>
  <c r="F35" i="1"/>
  <c r="E39" i="1"/>
  <c r="F39" i="1"/>
  <c r="E43" i="1"/>
  <c r="F43" i="1"/>
  <c r="E47" i="1"/>
  <c r="F47" i="1"/>
  <c r="E51" i="1"/>
  <c r="F51" i="1"/>
  <c r="E55" i="1"/>
  <c r="F55" i="1"/>
  <c r="E59" i="1"/>
  <c r="F59" i="1"/>
  <c r="E63" i="1"/>
  <c r="F63" i="1"/>
  <c r="E67" i="1"/>
  <c r="F67" i="1"/>
  <c r="E71" i="1"/>
  <c r="F71" i="1"/>
  <c r="E75" i="1"/>
  <c r="F75" i="1"/>
  <c r="E79" i="1"/>
  <c r="F79" i="1"/>
  <c r="E83" i="1"/>
  <c r="F83" i="1"/>
  <c r="E87" i="1"/>
  <c r="F87" i="1"/>
  <c r="E91" i="1"/>
  <c r="F91" i="1"/>
  <c r="E95" i="1"/>
  <c r="F95" i="1"/>
  <c r="E99" i="1"/>
  <c r="F99" i="1"/>
  <c r="E103" i="1"/>
  <c r="F103" i="1"/>
  <c r="F107" i="1"/>
  <c r="E107" i="1"/>
  <c r="E111" i="1"/>
  <c r="F111" i="1"/>
  <c r="F115" i="1"/>
  <c r="E115" i="1"/>
  <c r="E119" i="1"/>
  <c r="F119" i="1"/>
  <c r="E120" i="1"/>
  <c r="F120" i="1"/>
  <c r="E121" i="1"/>
  <c r="F121" i="1"/>
</calcChain>
</file>

<file path=xl/sharedStrings.xml><?xml version="1.0" encoding="utf-8"?>
<sst xmlns="http://schemas.openxmlformats.org/spreadsheetml/2006/main" count="558" uniqueCount="93">
  <si>
    <t>#</t>
  </si>
  <si>
    <t>Month</t>
  </si>
  <si>
    <t>Transaction Type</t>
  </si>
  <si>
    <t>Amount ($)</t>
  </si>
  <si>
    <t>Category</t>
  </si>
  <si>
    <t>Account Category</t>
  </si>
  <si>
    <t>January</t>
  </si>
  <si>
    <t>Office Rent</t>
  </si>
  <si>
    <t>Expense</t>
  </si>
  <si>
    <t>Operational Expenses</t>
  </si>
  <si>
    <t>Salaries</t>
  </si>
  <si>
    <t>Payroll Expenses</t>
  </si>
  <si>
    <t>Utilities</t>
  </si>
  <si>
    <t>Insurance Premium</t>
  </si>
  <si>
    <t>Risk Management</t>
  </si>
  <si>
    <t>Revenue</t>
  </si>
  <si>
    <t>Software Sales</t>
  </si>
  <si>
    <t>Office Supplies</t>
  </si>
  <si>
    <t>Office Maintenance</t>
  </si>
  <si>
    <t>Professional Fees</t>
  </si>
  <si>
    <t>Equipment Repair</t>
  </si>
  <si>
    <t>Maintenance &amp; Repairs</t>
  </si>
  <si>
    <t>Marketing</t>
  </si>
  <si>
    <t>Advertising &amp; Promotions</t>
  </si>
  <si>
    <t>Staff Bonus</t>
  </si>
  <si>
    <t>Sponsorship Income</t>
  </si>
  <si>
    <t>Legal Fees</t>
  </si>
  <si>
    <t>Professional Services</t>
  </si>
  <si>
    <t>Educational Revenue</t>
  </si>
  <si>
    <t>Bank Charges</t>
  </si>
  <si>
    <t>Financial Expenses</t>
  </si>
  <si>
    <t>February</t>
  </si>
  <si>
    <t>Equipment Purchase</t>
  </si>
  <si>
    <t>Capital Expenditure</t>
  </si>
  <si>
    <t>Software Subscription</t>
  </si>
  <si>
    <t>IT &amp; Software</t>
  </si>
  <si>
    <t>Service Revenue</t>
  </si>
  <si>
    <t>Consulting Revenue</t>
  </si>
  <si>
    <t>March</t>
  </si>
  <si>
    <t>Miscellaneous Expenses</t>
  </si>
  <si>
    <t>Other Expenses</t>
  </si>
  <si>
    <t>April</t>
  </si>
  <si>
    <t>Travel Expenses</t>
  </si>
  <si>
    <t>Business Travel</t>
  </si>
  <si>
    <t>May</t>
  </si>
  <si>
    <t>June</t>
  </si>
  <si>
    <t>Client Payment- Tech Co</t>
  </si>
  <si>
    <t>Transaction Date</t>
  </si>
  <si>
    <t>Sum of Amount ($)</t>
  </si>
  <si>
    <t>Grand Total</t>
  </si>
  <si>
    <t>February Total</t>
  </si>
  <si>
    <t>March Total</t>
  </si>
  <si>
    <t>April Total</t>
  </si>
  <si>
    <t>May Total</t>
  </si>
  <si>
    <t>June Total</t>
  </si>
  <si>
    <t xml:space="preserve">Client Payment- Move Inc. </t>
  </si>
  <si>
    <t>Client Payment- Tech Co.</t>
  </si>
  <si>
    <t>Consulting Fee- Move Inc.</t>
  </si>
  <si>
    <t>Event Sponsorship- NN Bank</t>
  </si>
  <si>
    <t>Advisory Fees- Alfred Bakery</t>
  </si>
  <si>
    <t>Client Payment- Bloom School</t>
  </si>
  <si>
    <t>Software Licensing- Bloom School</t>
  </si>
  <si>
    <t>Consulting Fee- Ink Shop</t>
  </si>
  <si>
    <t>Advisory Fees- Flex Printers</t>
  </si>
  <si>
    <t>Advisory Fees- ABC Bank</t>
  </si>
  <si>
    <t>Event Sponsorship- AA Construction</t>
  </si>
  <si>
    <t xml:space="preserve">Software Licensing- Tech Co. </t>
  </si>
  <si>
    <t xml:space="preserve">Software Licensing- Beta Ltd. </t>
  </si>
  <si>
    <t xml:space="preserve">Software Licensing- Teens Co. </t>
  </si>
  <si>
    <t xml:space="preserve">Consulting Fee- Beta Ltd. </t>
  </si>
  <si>
    <t xml:space="preserve">Event Sponsorship- Tech Co. </t>
  </si>
  <si>
    <t>Training Services- Best BPO</t>
  </si>
  <si>
    <t>Event Sponsorship- Ministry of Finance</t>
  </si>
  <si>
    <t>Training Services- Ministry of Finance</t>
  </si>
  <si>
    <t>Software Licensing- Alpha Co.</t>
  </si>
  <si>
    <t xml:space="preserve">Advisory Fees- Beta Ltd. </t>
  </si>
  <si>
    <t>Client Name</t>
  </si>
  <si>
    <t xml:space="preserve">Beta Ltd. </t>
  </si>
  <si>
    <t xml:space="preserve">Tech Co. </t>
  </si>
  <si>
    <t>AA Construction</t>
  </si>
  <si>
    <t>Ministry of Finance</t>
  </si>
  <si>
    <t xml:space="preserve">Move Inc. </t>
  </si>
  <si>
    <t>ABC Bank</t>
  </si>
  <si>
    <t>Tech Co.</t>
  </si>
  <si>
    <t>Bloom School</t>
  </si>
  <si>
    <t xml:space="preserve">Training Services- Move Inc. </t>
  </si>
  <si>
    <t>Training Services- Gamma Enterprise</t>
  </si>
  <si>
    <t>Event Sponsorship- Tech Co.</t>
  </si>
  <si>
    <t>Count of Rows</t>
  </si>
  <si>
    <t>Transaction Type2</t>
  </si>
  <si>
    <t>Client Name2</t>
  </si>
  <si>
    <t>Marketing Expense</t>
  </si>
  <si>
    <t>Marketing Expense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</si>
</sst>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" fontId="0" fillId="0" borderId="0" xfId="0" applyNumberFormat="1"/>
    <xf numFmtId="44" fontId="0" fillId="0" borderId="0" xfId="1" applyFont="1"/>
    <xf numFmtId="164" fontId="0" fillId="0" borderId="0" xfId="1" applyNumberFormat="1" applyFont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pivotButton="1"/>
    <xf numFmtId="0" fontId="16" fillId="0" borderId="0" xfId="0" applyFont="1" applyAlignment="1">
      <alignment horizontal="center"/>
    </xf>
    <xf numFmtId="0" fontId="16" fillId="0" borderId="0" xfId="0" applyFont="1"/>
    <xf numFmtId="164" fontId="16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[Top-Talent-Transaction-Report-Practice-session.xlsx]Sheet2!PivotTable2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Sheet2!$A$5:$A$19</c:f>
              <c:strCache>
                <c:ptCount val="14"/>
                <c:pt idx="0">
                  <c:v>Bank Charges</c:v>
                </c:pt>
                <c:pt idx="1">
                  <c:v>Equipment Purchase</c:v>
                </c:pt>
                <c:pt idx="2">
                  <c:v>Equipment Repair</c:v>
                </c:pt>
                <c:pt idx="3">
                  <c:v>Insurance Premium</c:v>
                </c:pt>
                <c:pt idx="4">
                  <c:v>Legal Fees</c:v>
                </c:pt>
                <c:pt idx="5">
                  <c:v>Marketing</c:v>
                </c:pt>
                <c:pt idx="6">
                  <c:v>Miscellaneous Expenses</c:v>
                </c:pt>
                <c:pt idx="7">
                  <c:v>Office Rent</c:v>
                </c:pt>
                <c:pt idx="8">
                  <c:v>Office Supplies</c:v>
                </c:pt>
                <c:pt idx="9">
                  <c:v>Salaries</c:v>
                </c:pt>
                <c:pt idx="10">
                  <c:v>Software Subscription</c:v>
                </c:pt>
                <c:pt idx="11">
                  <c:v>Staff Bonus</c:v>
                </c:pt>
                <c:pt idx="12">
                  <c:v>Travel Expenses</c:v>
                </c:pt>
                <c:pt idx="13">
                  <c:v>Utilities</c:v>
                </c:pt>
              </c:strCache>
            </c:strRef>
          </c:cat>
          <c:val>
            <c:numRef>
              <c:f>Sheet2!$B$5:$B$19</c:f>
              <c:numCache>
                <c:formatCode>_("$"* #,##0_);_("$"* \(#,##0\);_("$"* "-"??_);_(@_)</c:formatCode>
                <c:ptCount val="14"/>
                <c:pt idx="0">
                  <c:v>-3000</c:v>
                </c:pt>
                <c:pt idx="1">
                  <c:v>-4000</c:v>
                </c:pt>
                <c:pt idx="2">
                  <c:v>-1945</c:v>
                </c:pt>
                <c:pt idx="3">
                  <c:v>-3600</c:v>
                </c:pt>
                <c:pt idx="4">
                  <c:v>-5100</c:v>
                </c:pt>
                <c:pt idx="5">
                  <c:v>-5680</c:v>
                </c:pt>
                <c:pt idx="6">
                  <c:v>-2530</c:v>
                </c:pt>
                <c:pt idx="7">
                  <c:v>-12000</c:v>
                </c:pt>
                <c:pt idx="8">
                  <c:v>-1771</c:v>
                </c:pt>
                <c:pt idx="9">
                  <c:v>-28903</c:v>
                </c:pt>
                <c:pt idx="10">
                  <c:v>-5700</c:v>
                </c:pt>
                <c:pt idx="11">
                  <c:v>-6000</c:v>
                </c:pt>
                <c:pt idx="12">
                  <c:v>-4600</c:v>
                </c:pt>
                <c:pt idx="13">
                  <c:v>-13340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D-4754-A72C-595C0179B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457300704"/>
        <c:axId val="1457301184"/>
      </c:barChart>
      <c:catAx>
        <c:axId val="1457300704"/>
        <c:scaling>
          <c:orientation val="maxMin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Transaction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301184"/>
        <c:crosses val="max"/>
        <c:auto val="1"/>
        <c:lblAlgn val="ctr"/>
        <c:lblOffset val="100"/>
        <c:noMultiLvlLbl val="0"/>
      </c:catAx>
      <c:valAx>
        <c:axId val="145730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300704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[Top-Talent-Transaction-Report-Practice-session.xlsx]Sheet6!PivotTable4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'Amount ($)' by 'Month' for 'Transaction Type' 'Marketing Expense'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Sheet6!$A$5:$B$15</c:f>
              <c:multiLvlStrCache>
                <c:ptCount val="5"/>
                <c:lvl>
                  <c:pt idx="0">
                    <c:v>Expense</c:v>
                  </c:pt>
                  <c:pt idx="1">
                    <c:v>Expense</c:v>
                  </c:pt>
                  <c:pt idx="2">
                    <c:v>Expense</c:v>
                  </c:pt>
                  <c:pt idx="3">
                    <c:v>Expense</c:v>
                  </c:pt>
                  <c:pt idx="4">
                    <c:v>Expense</c:v>
                  </c:pt>
                </c:lvl>
                <c:lvl>
                  <c:pt idx="0">
                    <c:v>June</c:v>
                  </c:pt>
                  <c:pt idx="1">
                    <c:v>February</c:v>
                  </c:pt>
                  <c:pt idx="2">
                    <c:v>May</c:v>
                  </c:pt>
                  <c:pt idx="3">
                    <c:v>March</c:v>
                  </c:pt>
                  <c:pt idx="4">
                    <c:v>April</c:v>
                  </c:pt>
                </c:lvl>
              </c:multiLvlStrCache>
            </c:multiLvlStrRef>
          </c:cat>
          <c:val>
            <c:numRef>
              <c:f>Sheet6!$C$5:$C$15</c:f>
              <c:numCache>
                <c:formatCode>_("$"* #,##0_);_("$"* \(#,##0\);_("$"* "-"??_);_(@_)</c:formatCode>
                <c:ptCount val="5"/>
                <c:pt idx="0">
                  <c:v>-500</c:v>
                </c:pt>
                <c:pt idx="1">
                  <c:v>-700</c:v>
                </c:pt>
                <c:pt idx="2">
                  <c:v>-1200</c:v>
                </c:pt>
                <c:pt idx="3">
                  <c:v>-1200</c:v>
                </c:pt>
                <c:pt idx="4">
                  <c:v>-1580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5-4FAD-882E-EE5BE82C7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553746912"/>
        <c:axId val="1553747872"/>
      </c:barChart>
      <c:catAx>
        <c:axId val="1553746912"/>
        <c:scaling>
          <c:orientation val="maxMin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747872"/>
        <c:crosses val="max"/>
        <c:auto val="1"/>
        <c:lblAlgn val="ctr"/>
        <c:lblOffset val="100"/>
        <c:noMultiLvlLbl val="0"/>
      </c:catAx>
      <c:valAx>
        <c:axId val="155374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74691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190499</xdr:rowOff>
    </xdr:from>
    <xdr:to>
      <xdr:col>10</xdr:col>
      <xdr:colOff>304800</xdr:colOff>
      <xdr:row>25</xdr:row>
      <xdr:rowOff>133350</xdr:rowOff>
    </xdr:to>
    <xdr:graphicFrame macro="">
      <xdr:nvGraphicFramePr>
        <xdr:cNvPr id="2" name="Chart 1" descr="Chart type: Clustered Bar. &#10;&#10;Description automatically generated">
          <a:extLst>
            <a:ext uri="{FF2B5EF4-FFF2-40B4-BE49-F238E27FC236}">
              <a16:creationId xmlns:a16="http://schemas.microsoft.com/office/drawing/2014/main" id="{57EDB7FC-96D9-72DD-DA05-EFA798532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85725</xdr:rowOff>
    </xdr:from>
    <xdr:to>
      <xdr:col>10</xdr:col>
      <xdr:colOff>342900</xdr:colOff>
      <xdr:row>19</xdr:row>
      <xdr:rowOff>114300</xdr:rowOff>
    </xdr:to>
    <xdr:graphicFrame macro="">
      <xdr:nvGraphicFramePr>
        <xdr:cNvPr id="2" name="Chart 1" descr="Chart type: Clustered Bar. 'Amount ($)' by 'Month' for 'Transaction Type' 'Marketing Expense'&#10;&#10;Description automatically generated">
          <a:extLst>
            <a:ext uri="{FF2B5EF4-FFF2-40B4-BE49-F238E27FC236}">
              <a16:creationId xmlns:a16="http://schemas.microsoft.com/office/drawing/2014/main" id="{695DCEBB-A1C2-9A1C-ECD4-FA9FA5F28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735.66003900463" createdVersion="8" refreshedVersion="8" minRefreshableVersion="3" recordCount="120" xr:uid="{4D1BBCEB-69CC-422E-8211-B4812F309FC6}">
  <cacheSource type="worksheet">
    <worksheetSource ref="A1:I121" sheet="Cash_Flow_Report"/>
  </cacheSource>
  <cacheFields count="7">
    <cacheField name="#" numFmtId="0">
      <sharedItems containsSemiMixedTypes="0" containsString="0" containsNumber="1" containsInteger="1" minValue="0" maxValue="119"/>
    </cacheField>
    <cacheField name="Month" numFmtId="0">
      <sharedItems count="6">
        <s v="January"/>
        <s v="February"/>
        <s v="March"/>
        <s v="April"/>
        <s v="May"/>
        <s v="June"/>
      </sharedItems>
    </cacheField>
    <cacheField name="Transaction Date" numFmtId="16">
      <sharedItems containsSemiMixedTypes="0" containsNonDate="0" containsDate="1" containsString="0" minDate="2025-01-01T00:00:00" maxDate="2025-06-21T00:00:00"/>
    </cacheField>
    <cacheField name="Transaction Type" numFmtId="0">
      <sharedItems count="21">
        <s v="Office Rent"/>
        <s v="Salaries"/>
        <s v="Utilities"/>
        <s v="Insurance Premium"/>
        <s v="Software Licensing"/>
        <s v="Office Supplies"/>
        <s v="Consulting Fee"/>
        <s v="Equipment Repair"/>
        <s v="Marketing"/>
        <s v="Client Payment- Tech Co"/>
        <s v="Staff Bonus"/>
        <s v="Event Sponsorship"/>
        <s v="Legal Fees"/>
        <s v="Training Services"/>
        <s v="Bank Charges"/>
        <s v="Equipment Purchase"/>
        <s v="Software Subscription"/>
        <s v="Client Payment"/>
        <s v="Advisory Fees"/>
        <s v="Miscellaneous Expenses"/>
        <s v="Travel Expenses"/>
      </sharedItems>
    </cacheField>
    <cacheField name="Amount ($)" numFmtId="0">
      <sharedItems containsSemiMixedTypes="0" containsString="0" containsNumber="1" containsInteger="1" minValue="-5530" maxValue="20000"/>
    </cacheField>
    <cacheField name="Category" numFmtId="0">
      <sharedItems count="2">
        <s v="Expense"/>
        <s v="Revenue"/>
      </sharedItems>
    </cacheField>
    <cacheField name="Account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735.677780092592" createdVersion="8" refreshedVersion="8" minRefreshableVersion="3" recordCount="120" xr:uid="{811DCC3F-1733-42A1-A472-69AC39F60C7C}">
  <cacheSource type="worksheet">
    <worksheetSource ref="A1:I121" sheet="Cash_Flow_Report"/>
  </cacheSource>
  <cacheFields count="8">
    <cacheField name="#" numFmtId="0">
      <sharedItems containsSemiMixedTypes="0" containsString="0" containsNumber="1" containsInteger="1" minValue="0" maxValue="119"/>
    </cacheField>
    <cacheField name="Month" numFmtId="0">
      <sharedItems/>
    </cacheField>
    <cacheField name="Transaction Date" numFmtId="16">
      <sharedItems containsSemiMixedTypes="0" containsNonDate="0" containsDate="1" containsString="0" minDate="2025-01-01T00:00:00" maxDate="2025-06-21T00:00:00"/>
    </cacheField>
    <cacheField name="Transaction Type" numFmtId="0">
      <sharedItems/>
    </cacheField>
    <cacheField name="Amount ($)" numFmtId="0">
      <sharedItems containsSemiMixedTypes="0" containsString="0" containsNumber="1" containsInteger="1" minValue="-5530" maxValue="20000"/>
    </cacheField>
    <cacheField name="Category" numFmtId="0">
      <sharedItems count="2">
        <s v="Expense"/>
        <s v="Revenue"/>
      </sharedItems>
    </cacheField>
    <cacheField name="Account Category" numFmtId="0">
      <sharedItems/>
    </cacheField>
    <cacheField name="Client Name" numFmtId="0">
      <sharedItems count="19">
        <s v=""/>
        <s v="Teens Co. "/>
        <s v="Beta Ltd. "/>
        <s v="Tech Co"/>
        <s v="Tech Co. "/>
        <s v="AA Construction"/>
        <s v="Best BPO"/>
        <s v="Ministry of Finance"/>
        <s v="Alpha Co."/>
        <s v="Gamma Enterprise"/>
        <s v="Move Inc. "/>
        <s v="ABC Bank"/>
        <s v="Tech Co."/>
        <s v="Move Inc."/>
        <s v="Alfred Bakery"/>
        <s v="Bloom School"/>
        <s v="NN Bank"/>
        <s v="Flex Printers"/>
        <s v="Ink Sho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735.695389236113" createdVersion="8" refreshedVersion="8" minRefreshableVersion="3" recordCount="120" xr:uid="{39375D81-5A65-4636-BF80-6EEA656E2EFD}">
  <cacheSource type="worksheet">
    <worksheetSource ref="A1:I121" sheet="Cash_Flow_Report"/>
  </cacheSource>
  <cacheFields count="9">
    <cacheField name="#" numFmtId="0">
      <sharedItems containsSemiMixedTypes="0" containsString="0" containsNumber="1" containsInteger="1" minValue="0" maxValue="119"/>
    </cacheField>
    <cacheField name="Month" numFmtId="0">
      <sharedItems count="6">
        <s v="January"/>
        <s v="February"/>
        <s v="March"/>
        <s v="April"/>
        <s v="May"/>
        <s v="June"/>
      </sharedItems>
    </cacheField>
    <cacheField name="Transaction Date" numFmtId="16">
      <sharedItems containsSemiMixedTypes="0" containsNonDate="0" containsDate="1" containsString="0" minDate="2025-01-01T00:00:00" maxDate="2025-06-21T00:00:00"/>
    </cacheField>
    <cacheField name="Transaction Type" numFmtId="0">
      <sharedItems count="40">
        <s v="Office Rent"/>
        <s v="Salaries"/>
        <s v="Utilities"/>
        <s v="Insurance Premium"/>
        <s v="Software Licensing- Teens Co. "/>
        <s v="Office Supplies"/>
        <s v="Consulting Fee- Beta Ltd. "/>
        <s v="Equipment Repair"/>
        <s v="Marketing Expense Expense"/>
        <s v="Client Payment- Tech Co"/>
        <s v="Staff Bonus"/>
        <s v="Event Sponsorship- Tech Co. "/>
        <s v="Event Sponsorship- AA Construction"/>
        <s v="Legal Fees"/>
        <s v="Training Services- Best BPO"/>
        <s v="Bank Charges"/>
        <s v="Event Sponsorship- Ministry of Finance"/>
        <s v="Marketing Expense"/>
        <s v="Equipment Purchase"/>
        <s v="Software Subscription"/>
        <s v="Training Services- Ministry of Finance"/>
        <s v="Software Licensing- Alpha Co."/>
        <s v="Training Services- Gamma Enterprise"/>
        <s v="Client Payment- Move Inc. "/>
        <s v="Advisory Fees- Beta Ltd. "/>
        <s v="Training Services- Move Inc. "/>
        <s v="Software Licensing- Beta Ltd. "/>
        <s v="Miscellaneous Expenses"/>
        <s v="Travel Expenses"/>
        <s v="Advisory Fees- ABC Bank"/>
        <s v="Client Payment- Tech Co."/>
        <s v="Event Sponsorship- Tech Co."/>
        <s v="Consulting Fee- Move Inc."/>
        <s v="Software Licensing- Tech Co. "/>
        <s v="Advisory Fees- Alfred Bakery"/>
        <s v="Client Payment- Bloom School"/>
        <s v="Event Sponsorship- NN Bank"/>
        <s v="Advisory Fees- Flex Printers"/>
        <s v="Software Licensing- Bloom School"/>
        <s v="Consulting Fee- Ink Shop"/>
      </sharedItems>
    </cacheField>
    <cacheField name="Amount ($)" numFmtId="0">
      <sharedItems containsSemiMixedTypes="0" containsString="0" containsNumber="1" containsInteger="1" minValue="-5530" maxValue="20000"/>
    </cacheField>
    <cacheField name="Category" numFmtId="0">
      <sharedItems count="2">
        <s v="Expense"/>
        <s v="Revenue"/>
      </sharedItems>
    </cacheField>
    <cacheField name="Account Category" numFmtId="0">
      <sharedItems/>
    </cacheField>
    <cacheField name="Transaction Type2" numFmtId="0">
      <sharedItems/>
    </cacheField>
    <cacheField name="Client Name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0"/>
    <x v="0"/>
    <d v="2025-01-01T00:00:00"/>
    <x v="0"/>
    <n v="-2000"/>
    <x v="0"/>
    <s v="Operational Expenses"/>
  </r>
  <r>
    <n v="1"/>
    <x v="0"/>
    <d v="2025-01-02T00:00:00"/>
    <x v="1"/>
    <n v="-4530"/>
    <x v="0"/>
    <s v="Payroll Expenses"/>
  </r>
  <r>
    <n v="2"/>
    <x v="0"/>
    <d v="2025-01-03T00:00:00"/>
    <x v="2"/>
    <n v="-1888"/>
    <x v="0"/>
    <s v="Operational Expenses"/>
  </r>
  <r>
    <n v="3"/>
    <x v="0"/>
    <d v="2025-01-04T00:00:00"/>
    <x v="3"/>
    <n v="-600"/>
    <x v="0"/>
    <s v="Risk Management"/>
  </r>
  <r>
    <n v="4"/>
    <x v="0"/>
    <d v="2025-01-05T00:00:00"/>
    <x v="4"/>
    <n v="8000"/>
    <x v="1"/>
    <s v="Software Sales"/>
  </r>
  <r>
    <n v="5"/>
    <x v="0"/>
    <d v="2025-01-06T00:00:00"/>
    <x v="5"/>
    <n v="-280"/>
    <x v="0"/>
    <s v="Office Maintenance"/>
  </r>
  <r>
    <n v="6"/>
    <x v="0"/>
    <d v="2025-01-07T00:00:00"/>
    <x v="6"/>
    <n v="10000"/>
    <x v="1"/>
    <s v="Professional Fees"/>
  </r>
  <r>
    <n v="7"/>
    <x v="0"/>
    <d v="2025-01-08T00:00:00"/>
    <x v="7"/>
    <n v="-250"/>
    <x v="0"/>
    <s v="Maintenance &amp; Repairs"/>
  </r>
  <r>
    <n v="8"/>
    <x v="0"/>
    <d v="2025-01-09T00:00:00"/>
    <x v="8"/>
    <n v="-300"/>
    <x v="0"/>
    <s v="Advertising &amp; Promotions"/>
  </r>
  <r>
    <n v="9"/>
    <x v="0"/>
    <d v="2025-01-10T00:00:00"/>
    <x v="9"/>
    <n v="1000"/>
    <x v="1"/>
    <s v="Professional Fees"/>
  </r>
  <r>
    <n v="10"/>
    <x v="0"/>
    <d v="2025-01-11T00:00:00"/>
    <x v="10"/>
    <n v="-500"/>
    <x v="0"/>
    <s v="Payroll Expenses"/>
  </r>
  <r>
    <n v="11"/>
    <x v="0"/>
    <d v="2025-01-12T00:00:00"/>
    <x v="11"/>
    <n v="2000"/>
    <x v="1"/>
    <s v="Sponsorship Income"/>
  </r>
  <r>
    <n v="12"/>
    <x v="0"/>
    <d v="2025-01-13T00:00:00"/>
    <x v="7"/>
    <n v="-320"/>
    <x v="0"/>
    <s v="Maintenance &amp; Repairs"/>
  </r>
  <r>
    <n v="13"/>
    <x v="0"/>
    <d v="2025-01-14T00:00:00"/>
    <x v="11"/>
    <n v="1500"/>
    <x v="1"/>
    <s v="Sponsorship Income"/>
  </r>
  <r>
    <n v="14"/>
    <x v="0"/>
    <d v="2025-01-15T00:00:00"/>
    <x v="12"/>
    <n v="-200"/>
    <x v="0"/>
    <s v="Professional Services"/>
  </r>
  <r>
    <n v="15"/>
    <x v="0"/>
    <d v="2025-01-16T00:00:00"/>
    <x v="13"/>
    <n v="15000"/>
    <x v="1"/>
    <s v="Educational Revenue"/>
  </r>
  <r>
    <n v="16"/>
    <x v="0"/>
    <d v="2025-01-17T00:00:00"/>
    <x v="14"/>
    <n v="-500"/>
    <x v="0"/>
    <s v="Financial Expenses"/>
  </r>
  <r>
    <n v="17"/>
    <x v="0"/>
    <d v="2025-01-18T00:00:00"/>
    <x v="11"/>
    <n v="1500"/>
    <x v="1"/>
    <s v="Sponsorship Income"/>
  </r>
  <r>
    <n v="18"/>
    <x v="0"/>
    <d v="2025-01-19T00:00:00"/>
    <x v="12"/>
    <n v="-200"/>
    <x v="0"/>
    <s v="Professional Services"/>
  </r>
  <r>
    <n v="19"/>
    <x v="0"/>
    <d v="2025-01-20T00:00:00"/>
    <x v="7"/>
    <n v="-50"/>
    <x v="0"/>
    <s v="Maintenance &amp; Repairs"/>
  </r>
  <r>
    <n v="20"/>
    <x v="1"/>
    <d v="2025-02-01T00:00:00"/>
    <x v="0"/>
    <n v="-2000"/>
    <x v="0"/>
    <s v="Operational Expenses"/>
  </r>
  <r>
    <n v="21"/>
    <x v="1"/>
    <d v="2025-02-02T00:00:00"/>
    <x v="1"/>
    <n v="-4530"/>
    <x v="0"/>
    <s v="Payroll Expenses"/>
  </r>
  <r>
    <n v="22"/>
    <x v="1"/>
    <d v="2025-02-03T00:00:00"/>
    <x v="2"/>
    <n v="-1888"/>
    <x v="0"/>
    <s v="Operational Expenses"/>
  </r>
  <r>
    <n v="23"/>
    <x v="1"/>
    <d v="2025-02-04T00:00:00"/>
    <x v="3"/>
    <n v="-600"/>
    <x v="0"/>
    <s v="Risk Management"/>
  </r>
  <r>
    <n v="24"/>
    <x v="1"/>
    <d v="2025-02-05T00:00:00"/>
    <x v="8"/>
    <n v="-200"/>
    <x v="0"/>
    <s v="Advertising &amp; Promotions"/>
  </r>
  <r>
    <n v="25"/>
    <x v="1"/>
    <d v="2025-02-06T00:00:00"/>
    <x v="12"/>
    <n v="-200"/>
    <x v="0"/>
    <s v="Professional Services"/>
  </r>
  <r>
    <n v="26"/>
    <x v="1"/>
    <d v="2025-02-07T00:00:00"/>
    <x v="5"/>
    <n v="-240"/>
    <x v="0"/>
    <s v="Office Maintenance"/>
  </r>
  <r>
    <n v="27"/>
    <x v="1"/>
    <d v="2025-02-08T00:00:00"/>
    <x v="8"/>
    <n v="-300"/>
    <x v="0"/>
    <s v="Advertising &amp; Promotions"/>
  </r>
  <r>
    <n v="28"/>
    <x v="1"/>
    <d v="2025-02-09T00:00:00"/>
    <x v="15"/>
    <n v="-150"/>
    <x v="0"/>
    <s v="Capital Expenditure"/>
  </r>
  <r>
    <n v="29"/>
    <x v="1"/>
    <d v="2025-02-10T00:00:00"/>
    <x v="10"/>
    <n v="-500"/>
    <x v="0"/>
    <s v="Payroll Expenses"/>
  </r>
  <r>
    <n v="30"/>
    <x v="1"/>
    <d v="2025-02-11T00:00:00"/>
    <x v="8"/>
    <n v="-400"/>
    <x v="0"/>
    <s v="Advertising &amp; Promotions"/>
  </r>
  <r>
    <n v="31"/>
    <x v="1"/>
    <d v="2025-02-12T00:00:00"/>
    <x v="16"/>
    <n v="-800"/>
    <x v="0"/>
    <s v="IT &amp; Software"/>
  </r>
  <r>
    <n v="32"/>
    <x v="1"/>
    <d v="2025-02-13T00:00:00"/>
    <x v="13"/>
    <n v="8000"/>
    <x v="1"/>
    <s v="Educational Revenue"/>
  </r>
  <r>
    <n v="33"/>
    <x v="1"/>
    <d v="2025-02-14T00:00:00"/>
    <x v="4"/>
    <n v="2000"/>
    <x v="1"/>
    <s v="Software Sales"/>
  </r>
  <r>
    <n v="34"/>
    <x v="1"/>
    <d v="2025-02-15T00:00:00"/>
    <x v="13"/>
    <n v="9000"/>
    <x v="1"/>
    <s v="Educational Revenue"/>
  </r>
  <r>
    <n v="35"/>
    <x v="1"/>
    <d v="2025-02-16T00:00:00"/>
    <x v="12"/>
    <n v="-1000"/>
    <x v="0"/>
    <s v="Professional Services"/>
  </r>
  <r>
    <n v="36"/>
    <x v="1"/>
    <d v="2025-02-17T00:00:00"/>
    <x v="15"/>
    <n v="-250"/>
    <x v="0"/>
    <s v="Capital Expenditure"/>
  </r>
  <r>
    <n v="37"/>
    <x v="1"/>
    <d v="2025-02-18T00:00:00"/>
    <x v="17"/>
    <n v="6500"/>
    <x v="1"/>
    <s v="Service Revenue"/>
  </r>
  <r>
    <n v="38"/>
    <x v="1"/>
    <d v="2025-02-19T00:00:00"/>
    <x v="18"/>
    <n v="5600"/>
    <x v="1"/>
    <s v="Consulting Revenue"/>
  </r>
  <r>
    <n v="39"/>
    <x v="1"/>
    <d v="2025-02-20T00:00:00"/>
    <x v="5"/>
    <n v="-108"/>
    <x v="0"/>
    <s v="Office Maintenance"/>
  </r>
  <r>
    <n v="40"/>
    <x v="2"/>
    <d v="2025-03-01T00:00:00"/>
    <x v="0"/>
    <n v="-2000"/>
    <x v="0"/>
    <s v="Operational Expenses"/>
  </r>
  <r>
    <n v="41"/>
    <x v="2"/>
    <d v="2025-03-02T00:00:00"/>
    <x v="1"/>
    <n v="-4530"/>
    <x v="0"/>
    <s v="Payroll Expenses"/>
  </r>
  <r>
    <n v="42"/>
    <x v="2"/>
    <d v="2025-03-03T00:00:00"/>
    <x v="2"/>
    <n v="-1888"/>
    <x v="0"/>
    <s v="Operational Expenses"/>
  </r>
  <r>
    <n v="43"/>
    <x v="2"/>
    <d v="2025-03-04T00:00:00"/>
    <x v="3"/>
    <n v="-600"/>
    <x v="0"/>
    <s v="Risk Management"/>
  </r>
  <r>
    <n v="44"/>
    <x v="2"/>
    <d v="2025-03-05T00:00:00"/>
    <x v="15"/>
    <n v="-300"/>
    <x v="0"/>
    <s v="Capital Expenditure"/>
  </r>
  <r>
    <n v="45"/>
    <x v="2"/>
    <d v="2025-03-06T00:00:00"/>
    <x v="13"/>
    <n v="20000"/>
    <x v="1"/>
    <s v="Educational Revenue"/>
  </r>
  <r>
    <n v="46"/>
    <x v="2"/>
    <d v="2025-03-07T00:00:00"/>
    <x v="16"/>
    <n v="-800"/>
    <x v="0"/>
    <s v="IT &amp; Software"/>
  </r>
  <r>
    <n v="47"/>
    <x v="2"/>
    <d v="2025-03-08T00:00:00"/>
    <x v="12"/>
    <n v="-500"/>
    <x v="0"/>
    <s v="Professional Services"/>
  </r>
  <r>
    <n v="48"/>
    <x v="2"/>
    <d v="2025-03-09T00:00:00"/>
    <x v="5"/>
    <n v="-280"/>
    <x v="0"/>
    <s v="Office Maintenance"/>
  </r>
  <r>
    <n v="49"/>
    <x v="2"/>
    <d v="2025-03-10T00:00:00"/>
    <x v="4"/>
    <n v="4000"/>
    <x v="1"/>
    <s v="Software Sales"/>
  </r>
  <r>
    <n v="50"/>
    <x v="2"/>
    <d v="2025-03-11T00:00:00"/>
    <x v="8"/>
    <n v="-1200"/>
    <x v="0"/>
    <s v="Advertising &amp; Promotions"/>
  </r>
  <r>
    <n v="51"/>
    <x v="2"/>
    <d v="2025-03-12T00:00:00"/>
    <x v="10"/>
    <n v="-500"/>
    <x v="0"/>
    <s v="Payroll Expenses"/>
  </r>
  <r>
    <n v="52"/>
    <x v="2"/>
    <d v="2025-03-13T00:00:00"/>
    <x v="5"/>
    <n v="-80"/>
    <x v="0"/>
    <s v="Office Maintenance"/>
  </r>
  <r>
    <n v="53"/>
    <x v="2"/>
    <d v="2025-03-14T00:00:00"/>
    <x v="19"/>
    <n v="-230"/>
    <x v="0"/>
    <s v="Other Expenses"/>
  </r>
  <r>
    <n v="54"/>
    <x v="2"/>
    <d v="2025-03-15T00:00:00"/>
    <x v="16"/>
    <n v="-800"/>
    <x v="0"/>
    <s v="IT &amp; Software"/>
  </r>
  <r>
    <n v="55"/>
    <x v="2"/>
    <d v="2025-03-16T00:00:00"/>
    <x v="14"/>
    <n v="-500"/>
    <x v="0"/>
    <s v="Financial Expenses"/>
  </r>
  <r>
    <n v="56"/>
    <x v="2"/>
    <d v="2025-03-17T00:00:00"/>
    <x v="5"/>
    <n v="-50"/>
    <x v="0"/>
    <s v="Office Maintenance"/>
  </r>
  <r>
    <n v="57"/>
    <x v="2"/>
    <d v="2025-03-18T00:00:00"/>
    <x v="15"/>
    <n v="-1000"/>
    <x v="0"/>
    <s v="Capital Expenditure"/>
  </r>
  <r>
    <n v="58"/>
    <x v="2"/>
    <d v="2025-03-19T00:00:00"/>
    <x v="5"/>
    <n v="-120"/>
    <x v="0"/>
    <s v="Office Maintenance"/>
  </r>
  <r>
    <n v="59"/>
    <x v="2"/>
    <d v="2025-03-20T00:00:00"/>
    <x v="15"/>
    <n v="-1500"/>
    <x v="0"/>
    <s v="Capital Expenditure"/>
  </r>
  <r>
    <n v="60"/>
    <x v="3"/>
    <d v="2025-04-01T00:00:00"/>
    <x v="0"/>
    <n v="-2000"/>
    <x v="0"/>
    <s v="Operational Expenses"/>
  </r>
  <r>
    <n v="61"/>
    <x v="3"/>
    <d v="2025-04-02T00:00:00"/>
    <x v="1"/>
    <n v="-4583"/>
    <x v="0"/>
    <s v="Payroll Expenses"/>
  </r>
  <r>
    <n v="62"/>
    <x v="3"/>
    <d v="2025-04-03T00:00:00"/>
    <x v="2"/>
    <n v="-2588"/>
    <x v="0"/>
    <s v="Operational Expenses"/>
  </r>
  <r>
    <n v="63"/>
    <x v="3"/>
    <d v="2025-04-04T00:00:00"/>
    <x v="3"/>
    <n v="-600"/>
    <x v="0"/>
    <s v="Risk Management"/>
  </r>
  <r>
    <n v="64"/>
    <x v="3"/>
    <d v="2025-04-05T00:00:00"/>
    <x v="20"/>
    <n v="-1100"/>
    <x v="0"/>
    <s v="Business Travel"/>
  </r>
  <r>
    <n v="65"/>
    <x v="3"/>
    <d v="2025-04-06T00:00:00"/>
    <x v="19"/>
    <n v="-860"/>
    <x v="0"/>
    <s v="Other Expenses"/>
  </r>
  <r>
    <n v="66"/>
    <x v="3"/>
    <d v="2025-04-07T00:00:00"/>
    <x v="5"/>
    <n v="-150"/>
    <x v="0"/>
    <s v="Office Maintenance"/>
  </r>
  <r>
    <n v="67"/>
    <x v="3"/>
    <d v="2025-04-08T00:00:00"/>
    <x v="18"/>
    <n v="5500"/>
    <x v="1"/>
    <s v="Consulting Revenue"/>
  </r>
  <r>
    <n v="68"/>
    <x v="3"/>
    <d v="2025-04-09T00:00:00"/>
    <x v="5"/>
    <n v="-120"/>
    <x v="0"/>
    <s v="Office Maintenance"/>
  </r>
  <r>
    <n v="69"/>
    <x v="3"/>
    <d v="2025-04-10T00:00:00"/>
    <x v="11"/>
    <n v="3000"/>
    <x v="1"/>
    <s v="Sponsorship Income"/>
  </r>
  <r>
    <n v="70"/>
    <x v="3"/>
    <d v="2025-04-11T00:00:00"/>
    <x v="16"/>
    <n v="-1100"/>
    <x v="0"/>
    <s v="IT &amp; Software"/>
  </r>
  <r>
    <n v="71"/>
    <x v="3"/>
    <d v="2025-04-12T00:00:00"/>
    <x v="17"/>
    <n v="8200"/>
    <x v="1"/>
    <s v="Service Revenue"/>
  </r>
  <r>
    <n v="72"/>
    <x v="3"/>
    <d v="2025-04-13T00:00:00"/>
    <x v="20"/>
    <n v="-1200"/>
    <x v="0"/>
    <s v="Business Travel"/>
  </r>
  <r>
    <n v="73"/>
    <x v="3"/>
    <d v="2025-04-14T00:00:00"/>
    <x v="10"/>
    <n v="-500"/>
    <x v="0"/>
    <s v="Payroll Expenses"/>
  </r>
  <r>
    <n v="74"/>
    <x v="3"/>
    <d v="2025-04-15T00:00:00"/>
    <x v="8"/>
    <n v="-780"/>
    <x v="0"/>
    <s v="Advertising &amp; Promotions"/>
  </r>
  <r>
    <n v="75"/>
    <x v="3"/>
    <d v="2025-04-16T00:00:00"/>
    <x v="7"/>
    <n v="-120"/>
    <x v="0"/>
    <s v="Maintenance &amp; Repairs"/>
  </r>
  <r>
    <n v="76"/>
    <x v="3"/>
    <d v="2025-04-17T00:00:00"/>
    <x v="11"/>
    <n v="4000"/>
    <x v="1"/>
    <s v="Sponsorship Income"/>
  </r>
  <r>
    <n v="77"/>
    <x v="3"/>
    <d v="2025-04-18T00:00:00"/>
    <x v="6"/>
    <n v="9000"/>
    <x v="1"/>
    <s v="Professional Fees"/>
  </r>
  <r>
    <n v="78"/>
    <x v="3"/>
    <d v="2025-04-19T00:00:00"/>
    <x v="4"/>
    <n v="4000"/>
    <x v="1"/>
    <s v="Software Sales"/>
  </r>
  <r>
    <n v="79"/>
    <x v="3"/>
    <d v="2025-04-20T00:00:00"/>
    <x v="8"/>
    <n v="-800"/>
    <x v="0"/>
    <s v="Advertising &amp; Promotions"/>
  </r>
  <r>
    <n v="80"/>
    <x v="4"/>
    <d v="2025-05-01T00:00:00"/>
    <x v="0"/>
    <n v="-2000"/>
    <x v="0"/>
    <s v="Operational Expenses"/>
  </r>
  <r>
    <n v="81"/>
    <x v="4"/>
    <d v="2025-05-02T00:00:00"/>
    <x v="1"/>
    <n v="-5530"/>
    <x v="0"/>
    <s v="Payroll Expenses"/>
  </r>
  <r>
    <n v="82"/>
    <x v="4"/>
    <d v="2025-05-03T00:00:00"/>
    <x v="2"/>
    <n v="-2500"/>
    <x v="0"/>
    <s v="Operational Expenses"/>
  </r>
  <r>
    <n v="83"/>
    <x v="4"/>
    <d v="2025-05-04T00:00:00"/>
    <x v="3"/>
    <n v="-600"/>
    <x v="0"/>
    <s v="Risk Management"/>
  </r>
  <r>
    <n v="84"/>
    <x v="4"/>
    <d v="2025-05-05T00:00:00"/>
    <x v="7"/>
    <n v="-125"/>
    <x v="0"/>
    <s v="Maintenance &amp; Repairs"/>
  </r>
  <r>
    <n v="85"/>
    <x v="4"/>
    <d v="2025-05-06T00:00:00"/>
    <x v="16"/>
    <n v="-1100"/>
    <x v="0"/>
    <s v="IT &amp; Software"/>
  </r>
  <r>
    <n v="86"/>
    <x v="4"/>
    <d v="2025-05-07T00:00:00"/>
    <x v="14"/>
    <n v="-500"/>
    <x v="0"/>
    <s v="Financial Expenses"/>
  </r>
  <r>
    <n v="87"/>
    <x v="4"/>
    <d v="2025-05-08T00:00:00"/>
    <x v="18"/>
    <n v="6000"/>
    <x v="1"/>
    <s v="Consulting Revenue"/>
  </r>
  <r>
    <n v="88"/>
    <x v="4"/>
    <d v="2025-05-09T00:00:00"/>
    <x v="8"/>
    <n v="-1200"/>
    <x v="0"/>
    <s v="Advertising &amp; Promotions"/>
  </r>
  <r>
    <n v="89"/>
    <x v="4"/>
    <d v="2025-05-10T00:00:00"/>
    <x v="17"/>
    <n v="15000"/>
    <x v="1"/>
    <s v="Service Revenue"/>
  </r>
  <r>
    <n v="90"/>
    <x v="4"/>
    <d v="2025-05-11T00:00:00"/>
    <x v="7"/>
    <n v="-60"/>
    <x v="0"/>
    <s v="Maintenance &amp; Repairs"/>
  </r>
  <r>
    <n v="91"/>
    <x v="4"/>
    <d v="2025-05-12T00:00:00"/>
    <x v="19"/>
    <n v="-630"/>
    <x v="0"/>
    <s v="Other Expenses"/>
  </r>
  <r>
    <n v="92"/>
    <x v="4"/>
    <d v="2025-05-13T00:00:00"/>
    <x v="19"/>
    <n v="-250"/>
    <x v="0"/>
    <s v="Other Expenses"/>
  </r>
  <r>
    <n v="93"/>
    <x v="4"/>
    <d v="2025-05-14T00:00:00"/>
    <x v="10"/>
    <n v="-1500"/>
    <x v="0"/>
    <s v="Payroll Expenses"/>
  </r>
  <r>
    <n v="94"/>
    <x v="4"/>
    <d v="2025-05-15T00:00:00"/>
    <x v="20"/>
    <n v="-1100"/>
    <x v="0"/>
    <s v="Business Travel"/>
  </r>
  <r>
    <n v="95"/>
    <x v="4"/>
    <d v="2025-05-16T00:00:00"/>
    <x v="14"/>
    <n v="-500"/>
    <x v="0"/>
    <s v="Financial Expenses"/>
  </r>
  <r>
    <n v="96"/>
    <x v="4"/>
    <d v="2025-05-17T00:00:00"/>
    <x v="12"/>
    <n v="-3000"/>
    <x v="0"/>
    <s v="Professional Services"/>
  </r>
  <r>
    <n v="97"/>
    <x v="4"/>
    <d v="2025-05-18T00:00:00"/>
    <x v="14"/>
    <n v="-500"/>
    <x v="0"/>
    <s v="Financial Expenses"/>
  </r>
  <r>
    <n v="98"/>
    <x v="4"/>
    <d v="2025-05-19T00:00:00"/>
    <x v="11"/>
    <n v="5000"/>
    <x v="1"/>
    <s v="Sponsorship Income"/>
  </r>
  <r>
    <n v="99"/>
    <x v="4"/>
    <d v="2025-05-20T00:00:00"/>
    <x v="7"/>
    <n v="-80"/>
    <x v="0"/>
    <s v="Maintenance &amp; Repairs"/>
  </r>
  <r>
    <n v="100"/>
    <x v="5"/>
    <d v="2025-06-01T00:00:00"/>
    <x v="0"/>
    <n v="-2000"/>
    <x v="0"/>
    <s v="Operational Expenses"/>
  </r>
  <r>
    <n v="101"/>
    <x v="5"/>
    <d v="2025-06-02T00:00:00"/>
    <x v="1"/>
    <n v="-5200"/>
    <x v="0"/>
    <s v="Payroll Expenses"/>
  </r>
  <r>
    <n v="102"/>
    <x v="5"/>
    <d v="2025-06-03T00:00:00"/>
    <x v="2"/>
    <n v="-2588"/>
    <x v="0"/>
    <s v="Operational Expenses"/>
  </r>
  <r>
    <n v="103"/>
    <x v="5"/>
    <d v="2025-06-04T00:00:00"/>
    <x v="3"/>
    <n v="-600"/>
    <x v="0"/>
    <s v="Risk Management"/>
  </r>
  <r>
    <n v="104"/>
    <x v="5"/>
    <d v="2025-06-05T00:00:00"/>
    <x v="8"/>
    <n v="-500"/>
    <x v="0"/>
    <s v="Advertising &amp; Promotions"/>
  </r>
  <r>
    <n v="105"/>
    <x v="5"/>
    <d v="2025-06-06T00:00:00"/>
    <x v="5"/>
    <n v="-240"/>
    <x v="0"/>
    <s v="Office Maintenance"/>
  </r>
  <r>
    <n v="106"/>
    <x v="5"/>
    <d v="2025-06-07T00:00:00"/>
    <x v="20"/>
    <n v="-1200"/>
    <x v="0"/>
    <s v="Business Travel"/>
  </r>
  <r>
    <n v="107"/>
    <x v="5"/>
    <d v="2025-06-08T00:00:00"/>
    <x v="15"/>
    <n v="-800"/>
    <x v="0"/>
    <s v="Capital Expenditure"/>
  </r>
  <r>
    <n v="108"/>
    <x v="5"/>
    <d v="2025-06-09T00:00:00"/>
    <x v="5"/>
    <n v="-55"/>
    <x v="0"/>
    <s v="Office Maintenance"/>
  </r>
  <r>
    <n v="109"/>
    <x v="5"/>
    <d v="2025-06-10T00:00:00"/>
    <x v="7"/>
    <n v="-340"/>
    <x v="0"/>
    <s v="Maintenance &amp; Repairs"/>
  </r>
  <r>
    <n v="110"/>
    <x v="5"/>
    <d v="2025-06-11T00:00:00"/>
    <x v="18"/>
    <n v="5300"/>
    <x v="1"/>
    <s v="Consulting Revenue"/>
  </r>
  <r>
    <n v="111"/>
    <x v="5"/>
    <d v="2025-06-12T00:00:00"/>
    <x v="16"/>
    <n v="-1100"/>
    <x v="0"/>
    <s v="IT &amp; Software"/>
  </r>
  <r>
    <n v="112"/>
    <x v="5"/>
    <d v="2025-06-13T00:00:00"/>
    <x v="14"/>
    <n v="-500"/>
    <x v="0"/>
    <s v="Financial Expenses"/>
  </r>
  <r>
    <n v="113"/>
    <x v="5"/>
    <d v="2025-06-14T00:00:00"/>
    <x v="7"/>
    <n v="-600"/>
    <x v="0"/>
    <s v="Maintenance &amp; Repairs"/>
  </r>
  <r>
    <n v="114"/>
    <x v="5"/>
    <d v="2025-06-15T00:00:00"/>
    <x v="10"/>
    <n v="-2500"/>
    <x v="0"/>
    <s v="Payroll Expenses"/>
  </r>
  <r>
    <n v="115"/>
    <x v="5"/>
    <d v="2025-06-16T00:00:00"/>
    <x v="5"/>
    <n v="-48"/>
    <x v="0"/>
    <s v="Office Maintenance"/>
  </r>
  <r>
    <n v="116"/>
    <x v="5"/>
    <d v="2025-06-17T00:00:00"/>
    <x v="4"/>
    <n v="4000"/>
    <x v="1"/>
    <s v="Software Sales"/>
  </r>
  <r>
    <n v="117"/>
    <x v="5"/>
    <d v="2025-06-18T00:00:00"/>
    <x v="6"/>
    <n v="15000"/>
    <x v="1"/>
    <s v="Professional Fees"/>
  </r>
  <r>
    <n v="118"/>
    <x v="5"/>
    <d v="2025-06-19T00:00:00"/>
    <x v="18"/>
    <n v="8000"/>
    <x v="1"/>
    <s v="Consulting Revenue"/>
  </r>
  <r>
    <n v="119"/>
    <x v="5"/>
    <d v="2025-06-20T00:00:00"/>
    <x v="19"/>
    <n v="-560"/>
    <x v="0"/>
    <s v="Other Expens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0"/>
    <s v="January"/>
    <d v="2025-01-01T00:00:00"/>
    <s v="Office Rent"/>
    <n v="-2000"/>
    <x v="0"/>
    <s v="Operational Expenses"/>
    <x v="0"/>
  </r>
  <r>
    <n v="1"/>
    <s v="January"/>
    <d v="2025-01-02T00:00:00"/>
    <s v="Salaries"/>
    <n v="-4530"/>
    <x v="0"/>
    <s v="Payroll Expenses"/>
    <x v="0"/>
  </r>
  <r>
    <n v="2"/>
    <s v="January"/>
    <d v="2025-01-03T00:00:00"/>
    <s v="Utilities"/>
    <n v="-1888"/>
    <x v="0"/>
    <s v="Operational Expenses"/>
    <x v="0"/>
  </r>
  <r>
    <n v="3"/>
    <s v="January"/>
    <d v="2025-01-04T00:00:00"/>
    <s v="Insurance Premium"/>
    <n v="-600"/>
    <x v="0"/>
    <s v="Risk Management"/>
    <x v="0"/>
  </r>
  <r>
    <n v="4"/>
    <s v="January"/>
    <d v="2025-01-05T00:00:00"/>
    <s v="Software Licensing- Teens Co. "/>
    <n v="8000"/>
    <x v="1"/>
    <s v="Software Sales"/>
    <x v="1"/>
  </r>
  <r>
    <n v="5"/>
    <s v="January"/>
    <d v="2025-01-06T00:00:00"/>
    <s v="Office Supplies"/>
    <n v="-280"/>
    <x v="0"/>
    <s v="Office Maintenance"/>
    <x v="0"/>
  </r>
  <r>
    <n v="6"/>
    <s v="January"/>
    <d v="2025-01-07T00:00:00"/>
    <s v="Consulting Fee- Beta Ltd. "/>
    <n v="10000"/>
    <x v="1"/>
    <s v="Professional Fees"/>
    <x v="2"/>
  </r>
  <r>
    <n v="7"/>
    <s v="January"/>
    <d v="2025-01-08T00:00:00"/>
    <s v="Equipment Repair"/>
    <n v="-250"/>
    <x v="0"/>
    <s v="Maintenance &amp; Repairs"/>
    <x v="0"/>
  </r>
  <r>
    <n v="8"/>
    <s v="January"/>
    <d v="2025-01-09T00:00:00"/>
    <s v="Marketing"/>
    <n v="-300"/>
    <x v="0"/>
    <s v="Advertising &amp; Promotions"/>
    <x v="0"/>
  </r>
  <r>
    <n v="9"/>
    <s v="January"/>
    <d v="2025-01-10T00:00:00"/>
    <s v="Client Payment- Tech Co"/>
    <n v="1000"/>
    <x v="1"/>
    <s v="Professional Fees"/>
    <x v="3"/>
  </r>
  <r>
    <n v="10"/>
    <s v="January"/>
    <d v="2025-01-11T00:00:00"/>
    <s v="Staff Bonus"/>
    <n v="-500"/>
    <x v="0"/>
    <s v="Payroll Expenses"/>
    <x v="0"/>
  </r>
  <r>
    <n v="11"/>
    <s v="January"/>
    <d v="2025-01-12T00:00:00"/>
    <s v="Event Sponsorship- Tech Co. "/>
    <n v="2000"/>
    <x v="1"/>
    <s v="Sponsorship Income"/>
    <x v="4"/>
  </r>
  <r>
    <n v="12"/>
    <s v="January"/>
    <d v="2025-01-13T00:00:00"/>
    <s v="Equipment Repair"/>
    <n v="-320"/>
    <x v="0"/>
    <s v="Maintenance &amp; Repairs"/>
    <x v="0"/>
  </r>
  <r>
    <n v="13"/>
    <s v="January"/>
    <d v="2025-01-14T00:00:00"/>
    <s v="Event Sponsorship- AA Construction"/>
    <n v="1500"/>
    <x v="1"/>
    <s v="Sponsorship Income"/>
    <x v="5"/>
  </r>
  <r>
    <n v="14"/>
    <s v="January"/>
    <d v="2025-01-15T00:00:00"/>
    <s v="Legal Fees"/>
    <n v="-200"/>
    <x v="0"/>
    <s v="Professional Services"/>
    <x v="0"/>
  </r>
  <r>
    <n v="15"/>
    <s v="January"/>
    <d v="2025-01-16T00:00:00"/>
    <s v="Training Services- Best BPO"/>
    <n v="15000"/>
    <x v="1"/>
    <s v="Educational Revenue"/>
    <x v="6"/>
  </r>
  <r>
    <n v="16"/>
    <s v="January"/>
    <d v="2025-01-17T00:00:00"/>
    <s v="Bank Charges"/>
    <n v="-500"/>
    <x v="0"/>
    <s v="Financial Expenses"/>
    <x v="0"/>
  </r>
  <r>
    <n v="17"/>
    <s v="January"/>
    <d v="2025-01-18T00:00:00"/>
    <s v="Event Sponsorship- Ministry of Finance"/>
    <n v="1500"/>
    <x v="1"/>
    <s v="Sponsorship Income"/>
    <x v="7"/>
  </r>
  <r>
    <n v="18"/>
    <s v="January"/>
    <d v="2025-01-19T00:00:00"/>
    <s v="Legal Fees"/>
    <n v="-200"/>
    <x v="0"/>
    <s v="Professional Services"/>
    <x v="0"/>
  </r>
  <r>
    <n v="19"/>
    <s v="January"/>
    <d v="2025-01-20T00:00:00"/>
    <s v="Equipment Repair"/>
    <n v="-50"/>
    <x v="0"/>
    <s v="Maintenance &amp; Repairs"/>
    <x v="0"/>
  </r>
  <r>
    <n v="20"/>
    <s v="February"/>
    <d v="2025-02-01T00:00:00"/>
    <s v="Office Rent"/>
    <n v="-2000"/>
    <x v="0"/>
    <s v="Operational Expenses"/>
    <x v="0"/>
  </r>
  <r>
    <n v="21"/>
    <s v="February"/>
    <d v="2025-02-02T00:00:00"/>
    <s v="Salaries"/>
    <n v="-4530"/>
    <x v="0"/>
    <s v="Payroll Expenses"/>
    <x v="0"/>
  </r>
  <r>
    <n v="22"/>
    <s v="February"/>
    <d v="2025-02-03T00:00:00"/>
    <s v="Utilities"/>
    <n v="-1888"/>
    <x v="0"/>
    <s v="Operational Expenses"/>
    <x v="0"/>
  </r>
  <r>
    <n v="23"/>
    <s v="February"/>
    <d v="2025-02-04T00:00:00"/>
    <s v="Insurance Premium"/>
    <n v="-600"/>
    <x v="0"/>
    <s v="Risk Management"/>
    <x v="0"/>
  </r>
  <r>
    <n v="24"/>
    <s v="February"/>
    <d v="2025-02-05T00:00:00"/>
    <s v="Marketing"/>
    <n v="-200"/>
    <x v="0"/>
    <s v="Advertising &amp; Promotions"/>
    <x v="0"/>
  </r>
  <r>
    <n v="25"/>
    <s v="February"/>
    <d v="2025-02-06T00:00:00"/>
    <s v="Legal Fees"/>
    <n v="-200"/>
    <x v="0"/>
    <s v="Professional Services"/>
    <x v="0"/>
  </r>
  <r>
    <n v="26"/>
    <s v="February"/>
    <d v="2025-02-07T00:00:00"/>
    <s v="Office Supplies"/>
    <n v="-240"/>
    <x v="0"/>
    <s v="Office Maintenance"/>
    <x v="0"/>
  </r>
  <r>
    <n v="27"/>
    <s v="February"/>
    <d v="2025-02-08T00:00:00"/>
    <s v="Marketing"/>
    <n v="-300"/>
    <x v="0"/>
    <s v="Advertising &amp; Promotions"/>
    <x v="0"/>
  </r>
  <r>
    <n v="28"/>
    <s v="February"/>
    <d v="2025-02-09T00:00:00"/>
    <s v="Equipment Purchase"/>
    <n v="-150"/>
    <x v="0"/>
    <s v="Capital Expenditure"/>
    <x v="0"/>
  </r>
  <r>
    <n v="29"/>
    <s v="February"/>
    <d v="2025-02-10T00:00:00"/>
    <s v="Staff Bonus"/>
    <n v="-500"/>
    <x v="0"/>
    <s v="Payroll Expenses"/>
    <x v="0"/>
  </r>
  <r>
    <n v="30"/>
    <s v="February"/>
    <d v="2025-02-11T00:00:00"/>
    <s v="Marketing"/>
    <n v="-400"/>
    <x v="0"/>
    <s v="Advertising &amp; Promotions"/>
    <x v="0"/>
  </r>
  <r>
    <n v="31"/>
    <s v="February"/>
    <d v="2025-02-12T00:00:00"/>
    <s v="Software Subscription"/>
    <n v="-800"/>
    <x v="0"/>
    <s v="IT &amp; Software"/>
    <x v="0"/>
  </r>
  <r>
    <n v="32"/>
    <s v="February"/>
    <d v="2025-02-13T00:00:00"/>
    <s v="Training Services- Ministry of Finance"/>
    <n v="8000"/>
    <x v="1"/>
    <s v="Educational Revenue"/>
    <x v="7"/>
  </r>
  <r>
    <n v="33"/>
    <s v="February"/>
    <d v="2025-02-14T00:00:00"/>
    <s v="Software Licensing- Alpha Co."/>
    <n v="2000"/>
    <x v="1"/>
    <s v="Software Sales"/>
    <x v="8"/>
  </r>
  <r>
    <n v="34"/>
    <s v="February"/>
    <d v="2025-02-15T00:00:00"/>
    <s v="Training Services- Gamma Enterprise"/>
    <n v="9000"/>
    <x v="1"/>
    <s v="Educational Revenue"/>
    <x v="9"/>
  </r>
  <r>
    <n v="35"/>
    <s v="February"/>
    <d v="2025-02-16T00:00:00"/>
    <s v="Legal Fees"/>
    <n v="-1000"/>
    <x v="0"/>
    <s v="Professional Services"/>
    <x v="0"/>
  </r>
  <r>
    <n v="36"/>
    <s v="February"/>
    <d v="2025-02-17T00:00:00"/>
    <s v="Equipment Purchase"/>
    <n v="-250"/>
    <x v="0"/>
    <s v="Capital Expenditure"/>
    <x v="0"/>
  </r>
  <r>
    <n v="37"/>
    <s v="February"/>
    <d v="2025-02-18T00:00:00"/>
    <s v="Client Payment- Move Inc. "/>
    <n v="6500"/>
    <x v="1"/>
    <s v="Service Revenue"/>
    <x v="10"/>
  </r>
  <r>
    <n v="38"/>
    <s v="February"/>
    <d v="2025-02-19T00:00:00"/>
    <s v="Advisory Fees- Beta Ltd. "/>
    <n v="5600"/>
    <x v="1"/>
    <s v="Consulting Revenue"/>
    <x v="2"/>
  </r>
  <r>
    <n v="39"/>
    <s v="February"/>
    <d v="2025-02-20T00:00:00"/>
    <s v="Office Supplies"/>
    <n v="-108"/>
    <x v="0"/>
    <s v="Office Maintenance"/>
    <x v="0"/>
  </r>
  <r>
    <n v="40"/>
    <s v="March"/>
    <d v="2025-03-01T00:00:00"/>
    <s v="Office Rent"/>
    <n v="-2000"/>
    <x v="0"/>
    <s v="Operational Expenses"/>
    <x v="0"/>
  </r>
  <r>
    <n v="41"/>
    <s v="March"/>
    <d v="2025-03-02T00:00:00"/>
    <s v="Salaries"/>
    <n v="-4530"/>
    <x v="0"/>
    <s v="Payroll Expenses"/>
    <x v="0"/>
  </r>
  <r>
    <n v="42"/>
    <s v="March"/>
    <d v="2025-03-03T00:00:00"/>
    <s v="Utilities"/>
    <n v="-1888"/>
    <x v="0"/>
    <s v="Operational Expenses"/>
    <x v="0"/>
  </r>
  <r>
    <n v="43"/>
    <s v="March"/>
    <d v="2025-03-04T00:00:00"/>
    <s v="Insurance Premium"/>
    <n v="-600"/>
    <x v="0"/>
    <s v="Risk Management"/>
    <x v="0"/>
  </r>
  <r>
    <n v="44"/>
    <s v="March"/>
    <d v="2025-03-05T00:00:00"/>
    <s v="Equipment Purchase"/>
    <n v="-300"/>
    <x v="0"/>
    <s v="Capital Expenditure"/>
    <x v="0"/>
  </r>
  <r>
    <n v="45"/>
    <s v="March"/>
    <d v="2025-03-06T00:00:00"/>
    <s v="Training Services- Move Inc. "/>
    <n v="20000"/>
    <x v="1"/>
    <s v="Educational Revenue"/>
    <x v="10"/>
  </r>
  <r>
    <n v="46"/>
    <s v="March"/>
    <d v="2025-03-07T00:00:00"/>
    <s v="Software Subscription"/>
    <n v="-800"/>
    <x v="0"/>
    <s v="IT &amp; Software"/>
    <x v="0"/>
  </r>
  <r>
    <n v="47"/>
    <s v="March"/>
    <d v="2025-03-08T00:00:00"/>
    <s v="Legal Fees"/>
    <n v="-500"/>
    <x v="0"/>
    <s v="Professional Services"/>
    <x v="0"/>
  </r>
  <r>
    <n v="48"/>
    <s v="March"/>
    <d v="2025-03-09T00:00:00"/>
    <s v="Office Supplies"/>
    <n v="-280"/>
    <x v="0"/>
    <s v="Office Maintenance"/>
    <x v="0"/>
  </r>
  <r>
    <n v="49"/>
    <s v="March"/>
    <d v="2025-03-10T00:00:00"/>
    <s v="Software Licensing- Beta Ltd. "/>
    <n v="4000"/>
    <x v="1"/>
    <s v="Software Sales"/>
    <x v="2"/>
  </r>
  <r>
    <n v="50"/>
    <s v="March"/>
    <d v="2025-03-11T00:00:00"/>
    <s v="Marketing"/>
    <n v="-1200"/>
    <x v="0"/>
    <s v="Advertising &amp; Promotions"/>
    <x v="0"/>
  </r>
  <r>
    <n v="51"/>
    <s v="March"/>
    <d v="2025-03-12T00:00:00"/>
    <s v="Staff Bonus"/>
    <n v="-500"/>
    <x v="0"/>
    <s v="Payroll Expenses"/>
    <x v="0"/>
  </r>
  <r>
    <n v="52"/>
    <s v="March"/>
    <d v="2025-03-13T00:00:00"/>
    <s v="Office Supplies"/>
    <n v="-80"/>
    <x v="0"/>
    <s v="Office Maintenance"/>
    <x v="0"/>
  </r>
  <r>
    <n v="53"/>
    <s v="March"/>
    <d v="2025-03-14T00:00:00"/>
    <s v="Miscellaneous Expenses"/>
    <n v="-230"/>
    <x v="0"/>
    <s v="Other Expenses"/>
    <x v="0"/>
  </r>
  <r>
    <n v="54"/>
    <s v="March"/>
    <d v="2025-03-15T00:00:00"/>
    <s v="Software Subscription"/>
    <n v="-800"/>
    <x v="0"/>
    <s v="IT &amp; Software"/>
    <x v="0"/>
  </r>
  <r>
    <n v="55"/>
    <s v="March"/>
    <d v="2025-03-16T00:00:00"/>
    <s v="Bank Charges"/>
    <n v="-500"/>
    <x v="0"/>
    <s v="Financial Expenses"/>
    <x v="0"/>
  </r>
  <r>
    <n v="56"/>
    <s v="March"/>
    <d v="2025-03-17T00:00:00"/>
    <s v="Office Supplies"/>
    <n v="-50"/>
    <x v="0"/>
    <s v="Office Maintenance"/>
    <x v="0"/>
  </r>
  <r>
    <n v="57"/>
    <s v="March"/>
    <d v="2025-03-18T00:00:00"/>
    <s v="Equipment Purchase"/>
    <n v="-1000"/>
    <x v="0"/>
    <s v="Capital Expenditure"/>
    <x v="0"/>
  </r>
  <r>
    <n v="58"/>
    <s v="March"/>
    <d v="2025-03-19T00:00:00"/>
    <s v="Office Supplies"/>
    <n v="-120"/>
    <x v="0"/>
    <s v="Office Maintenance"/>
    <x v="0"/>
  </r>
  <r>
    <n v="59"/>
    <s v="March"/>
    <d v="2025-03-20T00:00:00"/>
    <s v="Equipment Purchase"/>
    <n v="-1500"/>
    <x v="0"/>
    <s v="Capital Expenditure"/>
    <x v="0"/>
  </r>
  <r>
    <n v="60"/>
    <s v="April"/>
    <d v="2025-04-01T00:00:00"/>
    <s v="Office Rent"/>
    <n v="-2000"/>
    <x v="0"/>
    <s v="Operational Expenses"/>
    <x v="0"/>
  </r>
  <r>
    <n v="61"/>
    <s v="April"/>
    <d v="2025-04-02T00:00:00"/>
    <s v="Salaries"/>
    <n v="-4583"/>
    <x v="0"/>
    <s v="Payroll Expenses"/>
    <x v="0"/>
  </r>
  <r>
    <n v="62"/>
    <s v="April"/>
    <d v="2025-04-03T00:00:00"/>
    <s v="Utilities"/>
    <n v="-2588"/>
    <x v="0"/>
    <s v="Operational Expenses"/>
    <x v="0"/>
  </r>
  <r>
    <n v="63"/>
    <s v="April"/>
    <d v="2025-04-04T00:00:00"/>
    <s v="Insurance Premium"/>
    <n v="-600"/>
    <x v="0"/>
    <s v="Risk Management"/>
    <x v="0"/>
  </r>
  <r>
    <n v="64"/>
    <s v="April"/>
    <d v="2025-04-05T00:00:00"/>
    <s v="Travel Expenses"/>
    <n v="-1100"/>
    <x v="0"/>
    <s v="Business Travel"/>
    <x v="0"/>
  </r>
  <r>
    <n v="65"/>
    <s v="April"/>
    <d v="2025-04-06T00:00:00"/>
    <s v="Miscellaneous Expenses"/>
    <n v="-860"/>
    <x v="0"/>
    <s v="Other Expenses"/>
    <x v="0"/>
  </r>
  <r>
    <n v="66"/>
    <s v="April"/>
    <d v="2025-04-07T00:00:00"/>
    <s v="Office Supplies"/>
    <n v="-150"/>
    <x v="0"/>
    <s v="Office Maintenance"/>
    <x v="0"/>
  </r>
  <r>
    <n v="67"/>
    <s v="April"/>
    <d v="2025-04-08T00:00:00"/>
    <s v="Advisory Fees- ABC Bank"/>
    <n v="5500"/>
    <x v="1"/>
    <s v="Consulting Revenue"/>
    <x v="11"/>
  </r>
  <r>
    <n v="68"/>
    <s v="April"/>
    <d v="2025-04-09T00:00:00"/>
    <s v="Office Supplies"/>
    <n v="-120"/>
    <x v="0"/>
    <s v="Office Maintenance"/>
    <x v="0"/>
  </r>
  <r>
    <n v="69"/>
    <s v="April"/>
    <d v="2025-04-10T00:00:00"/>
    <s v="Event Sponsorship- AA Construction"/>
    <n v="3000"/>
    <x v="1"/>
    <s v="Sponsorship Income"/>
    <x v="5"/>
  </r>
  <r>
    <n v="70"/>
    <s v="April"/>
    <d v="2025-04-11T00:00:00"/>
    <s v="Software Subscription"/>
    <n v="-1100"/>
    <x v="0"/>
    <s v="IT &amp; Software"/>
    <x v="0"/>
  </r>
  <r>
    <n v="71"/>
    <s v="April"/>
    <d v="2025-04-12T00:00:00"/>
    <s v="Client Payment- Tech Co."/>
    <n v="8200"/>
    <x v="1"/>
    <s v="Service Revenue"/>
    <x v="12"/>
  </r>
  <r>
    <n v="72"/>
    <s v="April"/>
    <d v="2025-04-13T00:00:00"/>
    <s v="Travel Expenses"/>
    <n v="-1200"/>
    <x v="0"/>
    <s v="Business Travel"/>
    <x v="0"/>
  </r>
  <r>
    <n v="73"/>
    <s v="April"/>
    <d v="2025-04-14T00:00:00"/>
    <s v="Staff Bonus"/>
    <n v="-500"/>
    <x v="0"/>
    <s v="Payroll Expenses"/>
    <x v="0"/>
  </r>
  <r>
    <n v="74"/>
    <s v="April"/>
    <d v="2025-04-15T00:00:00"/>
    <s v="Marketing"/>
    <n v="-780"/>
    <x v="0"/>
    <s v="Advertising &amp; Promotions"/>
    <x v="0"/>
  </r>
  <r>
    <n v="75"/>
    <s v="April"/>
    <d v="2025-04-16T00:00:00"/>
    <s v="Equipment Repair"/>
    <n v="-120"/>
    <x v="0"/>
    <s v="Maintenance &amp; Repairs"/>
    <x v="0"/>
  </r>
  <r>
    <n v="76"/>
    <s v="April"/>
    <d v="2025-04-17T00:00:00"/>
    <s v="Event Sponsorship- Tech Co."/>
    <n v="4000"/>
    <x v="1"/>
    <s v="Sponsorship Income"/>
    <x v="12"/>
  </r>
  <r>
    <n v="77"/>
    <s v="April"/>
    <d v="2025-04-18T00:00:00"/>
    <s v="Consulting Fee- Move Inc."/>
    <n v="9000"/>
    <x v="1"/>
    <s v="Professional Fees"/>
    <x v="13"/>
  </r>
  <r>
    <n v="78"/>
    <s v="April"/>
    <d v="2025-04-19T00:00:00"/>
    <s v="Software Licensing- Tech Co. "/>
    <n v="4000"/>
    <x v="1"/>
    <s v="Software Sales"/>
    <x v="4"/>
  </r>
  <r>
    <n v="79"/>
    <s v="April"/>
    <d v="2025-04-20T00:00:00"/>
    <s v="Marketing"/>
    <n v="-800"/>
    <x v="0"/>
    <s v="Advertising &amp; Promotions"/>
    <x v="0"/>
  </r>
  <r>
    <n v="80"/>
    <s v="May"/>
    <d v="2025-05-01T00:00:00"/>
    <s v="Office Rent"/>
    <n v="-2000"/>
    <x v="0"/>
    <s v="Operational Expenses"/>
    <x v="0"/>
  </r>
  <r>
    <n v="81"/>
    <s v="May"/>
    <d v="2025-05-02T00:00:00"/>
    <s v="Salaries"/>
    <n v="-5530"/>
    <x v="0"/>
    <s v="Payroll Expenses"/>
    <x v="0"/>
  </r>
  <r>
    <n v="82"/>
    <s v="May"/>
    <d v="2025-05-03T00:00:00"/>
    <s v="Utilities"/>
    <n v="-2500"/>
    <x v="0"/>
    <s v="Operational Expenses"/>
    <x v="0"/>
  </r>
  <r>
    <n v="83"/>
    <s v="May"/>
    <d v="2025-05-04T00:00:00"/>
    <s v="Insurance Premium"/>
    <n v="-600"/>
    <x v="0"/>
    <s v="Risk Management"/>
    <x v="0"/>
  </r>
  <r>
    <n v="84"/>
    <s v="May"/>
    <d v="2025-05-05T00:00:00"/>
    <s v="Equipment Repair"/>
    <n v="-125"/>
    <x v="0"/>
    <s v="Maintenance &amp; Repairs"/>
    <x v="0"/>
  </r>
  <r>
    <n v="85"/>
    <s v="May"/>
    <d v="2025-05-06T00:00:00"/>
    <s v="Software Subscription"/>
    <n v="-1100"/>
    <x v="0"/>
    <s v="IT &amp; Software"/>
    <x v="0"/>
  </r>
  <r>
    <n v="86"/>
    <s v="May"/>
    <d v="2025-05-07T00:00:00"/>
    <s v="Bank Charges"/>
    <n v="-500"/>
    <x v="0"/>
    <s v="Financial Expenses"/>
    <x v="0"/>
  </r>
  <r>
    <n v="87"/>
    <s v="May"/>
    <d v="2025-05-08T00:00:00"/>
    <s v="Advisory Fees- Alfred Bakery"/>
    <n v="6000"/>
    <x v="1"/>
    <s v="Consulting Revenue"/>
    <x v="14"/>
  </r>
  <r>
    <n v="88"/>
    <s v="May"/>
    <d v="2025-05-09T00:00:00"/>
    <s v="Marketing"/>
    <n v="-1200"/>
    <x v="0"/>
    <s v="Advertising &amp; Promotions"/>
    <x v="0"/>
  </r>
  <r>
    <n v="89"/>
    <s v="May"/>
    <d v="2025-05-10T00:00:00"/>
    <s v="Client Payment- Bloom School"/>
    <n v="15000"/>
    <x v="1"/>
    <s v="Service Revenue"/>
    <x v="15"/>
  </r>
  <r>
    <n v="90"/>
    <s v="May"/>
    <d v="2025-05-11T00:00:00"/>
    <s v="Equipment Repair"/>
    <n v="-60"/>
    <x v="0"/>
    <s v="Maintenance &amp; Repairs"/>
    <x v="0"/>
  </r>
  <r>
    <n v="91"/>
    <s v="May"/>
    <d v="2025-05-12T00:00:00"/>
    <s v="Miscellaneous Expenses"/>
    <n v="-630"/>
    <x v="0"/>
    <s v="Other Expenses"/>
    <x v="0"/>
  </r>
  <r>
    <n v="92"/>
    <s v="May"/>
    <d v="2025-05-13T00:00:00"/>
    <s v="Miscellaneous Expenses"/>
    <n v="-250"/>
    <x v="0"/>
    <s v="Other Expenses"/>
    <x v="0"/>
  </r>
  <r>
    <n v="93"/>
    <s v="May"/>
    <d v="2025-05-14T00:00:00"/>
    <s v="Staff Bonus"/>
    <n v="-1500"/>
    <x v="0"/>
    <s v="Payroll Expenses"/>
    <x v="0"/>
  </r>
  <r>
    <n v="94"/>
    <s v="May"/>
    <d v="2025-05-15T00:00:00"/>
    <s v="Travel Expenses"/>
    <n v="-1100"/>
    <x v="0"/>
    <s v="Business Travel"/>
    <x v="0"/>
  </r>
  <r>
    <n v="95"/>
    <s v="May"/>
    <d v="2025-05-16T00:00:00"/>
    <s v="Bank Charges"/>
    <n v="-500"/>
    <x v="0"/>
    <s v="Financial Expenses"/>
    <x v="0"/>
  </r>
  <r>
    <n v="96"/>
    <s v="May"/>
    <d v="2025-05-17T00:00:00"/>
    <s v="Legal Fees"/>
    <n v="-3000"/>
    <x v="0"/>
    <s v="Professional Services"/>
    <x v="0"/>
  </r>
  <r>
    <n v="97"/>
    <s v="May"/>
    <d v="2025-05-18T00:00:00"/>
    <s v="Bank Charges"/>
    <n v="-500"/>
    <x v="0"/>
    <s v="Financial Expenses"/>
    <x v="0"/>
  </r>
  <r>
    <n v="98"/>
    <s v="May"/>
    <d v="2025-05-19T00:00:00"/>
    <s v="Event Sponsorship- NN Bank"/>
    <n v="5000"/>
    <x v="1"/>
    <s v="Sponsorship Income"/>
    <x v="16"/>
  </r>
  <r>
    <n v="99"/>
    <s v="May"/>
    <d v="2025-05-20T00:00:00"/>
    <s v="Equipment Repair"/>
    <n v="-80"/>
    <x v="0"/>
    <s v="Maintenance &amp; Repairs"/>
    <x v="0"/>
  </r>
  <r>
    <n v="100"/>
    <s v="June"/>
    <d v="2025-06-01T00:00:00"/>
    <s v="Office Rent"/>
    <n v="-2000"/>
    <x v="0"/>
    <s v="Operational Expenses"/>
    <x v="0"/>
  </r>
  <r>
    <n v="101"/>
    <s v="June"/>
    <d v="2025-06-02T00:00:00"/>
    <s v="Salaries"/>
    <n v="-5200"/>
    <x v="0"/>
    <s v="Payroll Expenses"/>
    <x v="0"/>
  </r>
  <r>
    <n v="102"/>
    <s v="June"/>
    <d v="2025-06-03T00:00:00"/>
    <s v="Utilities"/>
    <n v="-2588"/>
    <x v="0"/>
    <s v="Operational Expenses"/>
    <x v="0"/>
  </r>
  <r>
    <n v="103"/>
    <s v="June"/>
    <d v="2025-06-04T00:00:00"/>
    <s v="Insurance Premium"/>
    <n v="-600"/>
    <x v="0"/>
    <s v="Risk Management"/>
    <x v="0"/>
  </r>
  <r>
    <n v="104"/>
    <s v="June"/>
    <d v="2025-06-05T00:00:00"/>
    <s v="Marketing"/>
    <n v="-500"/>
    <x v="0"/>
    <s v="Advertising &amp; Promotions"/>
    <x v="0"/>
  </r>
  <r>
    <n v="105"/>
    <s v="June"/>
    <d v="2025-06-06T00:00:00"/>
    <s v="Office Supplies"/>
    <n v="-240"/>
    <x v="0"/>
    <s v="Office Maintenance"/>
    <x v="0"/>
  </r>
  <r>
    <n v="106"/>
    <s v="June"/>
    <d v="2025-06-07T00:00:00"/>
    <s v="Travel Expenses"/>
    <n v="-1200"/>
    <x v="0"/>
    <s v="Business Travel"/>
    <x v="0"/>
  </r>
  <r>
    <n v="107"/>
    <s v="June"/>
    <d v="2025-06-08T00:00:00"/>
    <s v="Equipment Purchase"/>
    <n v="-800"/>
    <x v="0"/>
    <s v="Capital Expenditure"/>
    <x v="0"/>
  </r>
  <r>
    <n v="108"/>
    <s v="June"/>
    <d v="2025-06-09T00:00:00"/>
    <s v="Office Supplies"/>
    <n v="-55"/>
    <x v="0"/>
    <s v="Office Maintenance"/>
    <x v="0"/>
  </r>
  <r>
    <n v="109"/>
    <s v="June"/>
    <d v="2025-06-10T00:00:00"/>
    <s v="Equipment Repair"/>
    <n v="-340"/>
    <x v="0"/>
    <s v="Maintenance &amp; Repairs"/>
    <x v="0"/>
  </r>
  <r>
    <n v="110"/>
    <s v="June"/>
    <d v="2025-06-11T00:00:00"/>
    <s v="Advisory Fees- Flex Printers"/>
    <n v="5300"/>
    <x v="1"/>
    <s v="Consulting Revenue"/>
    <x v="17"/>
  </r>
  <r>
    <n v="111"/>
    <s v="June"/>
    <d v="2025-06-12T00:00:00"/>
    <s v="Software Subscription"/>
    <n v="-1100"/>
    <x v="0"/>
    <s v="IT &amp; Software"/>
    <x v="0"/>
  </r>
  <r>
    <n v="112"/>
    <s v="June"/>
    <d v="2025-06-13T00:00:00"/>
    <s v="Bank Charges"/>
    <n v="-500"/>
    <x v="0"/>
    <s v="Financial Expenses"/>
    <x v="0"/>
  </r>
  <r>
    <n v="113"/>
    <s v="June"/>
    <d v="2025-06-14T00:00:00"/>
    <s v="Equipment Repair"/>
    <n v="-600"/>
    <x v="0"/>
    <s v="Maintenance &amp; Repairs"/>
    <x v="0"/>
  </r>
  <r>
    <n v="114"/>
    <s v="June"/>
    <d v="2025-06-15T00:00:00"/>
    <s v="Staff Bonus"/>
    <n v="-2500"/>
    <x v="0"/>
    <s v="Payroll Expenses"/>
    <x v="0"/>
  </r>
  <r>
    <n v="115"/>
    <s v="June"/>
    <d v="2025-06-16T00:00:00"/>
    <s v="Office Supplies"/>
    <n v="-48"/>
    <x v="0"/>
    <s v="Office Maintenance"/>
    <x v="0"/>
  </r>
  <r>
    <n v="116"/>
    <s v="June"/>
    <d v="2025-06-17T00:00:00"/>
    <s v="Software Licensing- Bloom School"/>
    <n v="4000"/>
    <x v="1"/>
    <s v="Software Sales"/>
    <x v="15"/>
  </r>
  <r>
    <n v="117"/>
    <s v="June"/>
    <d v="2025-06-18T00:00:00"/>
    <s v="Consulting Fee- Ink Shop"/>
    <n v="15000"/>
    <x v="1"/>
    <s v="Professional Fees"/>
    <x v="18"/>
  </r>
  <r>
    <n v="118"/>
    <s v="June"/>
    <d v="2025-06-19T00:00:00"/>
    <s v="Advisory Fees- ABC Bank"/>
    <n v="8000"/>
    <x v="1"/>
    <s v="Consulting Revenue"/>
    <x v="11"/>
  </r>
  <r>
    <n v="119"/>
    <s v="June"/>
    <d v="2025-06-20T00:00:00"/>
    <s v="Miscellaneous Expenses"/>
    <n v="-560"/>
    <x v="0"/>
    <s v="Other Expenses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0"/>
    <x v="0"/>
    <d v="2025-01-01T00:00:00"/>
    <x v="0"/>
    <n v="-2000"/>
    <x v="0"/>
    <s v="Operational Expenses"/>
    <s v="Office Rent"/>
    <s v=""/>
  </r>
  <r>
    <n v="1"/>
    <x v="0"/>
    <d v="2025-01-02T00:00:00"/>
    <x v="1"/>
    <n v="-4530"/>
    <x v="0"/>
    <s v="Payroll Expenses"/>
    <s v="Salaries"/>
    <s v=""/>
  </r>
  <r>
    <n v="2"/>
    <x v="0"/>
    <d v="2025-01-03T00:00:00"/>
    <x v="2"/>
    <n v="-1888"/>
    <x v="0"/>
    <s v="Operational Expenses"/>
    <s v="Utilities"/>
    <s v=""/>
  </r>
  <r>
    <n v="3"/>
    <x v="0"/>
    <d v="2025-01-04T00:00:00"/>
    <x v="3"/>
    <n v="-600"/>
    <x v="0"/>
    <s v="Risk Management"/>
    <s v="Insurance Premium"/>
    <s v=""/>
  </r>
  <r>
    <n v="4"/>
    <x v="0"/>
    <d v="2025-01-05T00:00:00"/>
    <x v="4"/>
    <n v="8000"/>
    <x v="1"/>
    <s v="Software Sales"/>
    <s v="Software Licensing"/>
    <s v="Teens Co."/>
  </r>
  <r>
    <n v="5"/>
    <x v="0"/>
    <d v="2025-01-06T00:00:00"/>
    <x v="5"/>
    <n v="-280"/>
    <x v="0"/>
    <s v="Office Maintenance"/>
    <s v="Office Supplies"/>
    <s v=""/>
  </r>
  <r>
    <n v="6"/>
    <x v="0"/>
    <d v="2025-01-07T00:00:00"/>
    <x v="6"/>
    <n v="10000"/>
    <x v="1"/>
    <s v="Professional Fees"/>
    <s v="Consulting Fee"/>
    <s v="Beta Ltd."/>
  </r>
  <r>
    <n v="7"/>
    <x v="0"/>
    <d v="2025-01-08T00:00:00"/>
    <x v="7"/>
    <n v="-250"/>
    <x v="0"/>
    <s v="Maintenance &amp; Repairs"/>
    <s v="Equipment Repair"/>
    <s v=""/>
  </r>
  <r>
    <n v="8"/>
    <x v="0"/>
    <d v="2025-01-09T00:00:00"/>
    <x v="8"/>
    <n v="-300"/>
    <x v="0"/>
    <s v="Advertising &amp; Promotions"/>
    <s v="Marketing Expense Expense"/>
    <s v=""/>
  </r>
  <r>
    <n v="9"/>
    <x v="0"/>
    <d v="2025-01-10T00:00:00"/>
    <x v="9"/>
    <n v="1000"/>
    <x v="1"/>
    <s v="Professional Fees"/>
    <s v="Client Payment"/>
    <s v="Tech Co"/>
  </r>
  <r>
    <n v="10"/>
    <x v="0"/>
    <d v="2025-01-11T00:00:00"/>
    <x v="10"/>
    <n v="-500"/>
    <x v="0"/>
    <s v="Payroll Expenses"/>
    <s v="Staff Bonus"/>
    <s v=""/>
  </r>
  <r>
    <n v="11"/>
    <x v="0"/>
    <d v="2025-01-12T00:00:00"/>
    <x v="11"/>
    <n v="2000"/>
    <x v="1"/>
    <s v="Sponsorship Income"/>
    <s v="Event Sponsorship"/>
    <s v="Tech Co."/>
  </r>
  <r>
    <n v="12"/>
    <x v="0"/>
    <d v="2025-01-13T00:00:00"/>
    <x v="7"/>
    <n v="-320"/>
    <x v="0"/>
    <s v="Maintenance &amp; Repairs"/>
    <s v="Equipment Repair"/>
    <s v=""/>
  </r>
  <r>
    <n v="13"/>
    <x v="0"/>
    <d v="2025-01-14T00:00:00"/>
    <x v="12"/>
    <n v="1500"/>
    <x v="1"/>
    <s v="Sponsorship Income"/>
    <s v="Event Sponsorship"/>
    <s v="AA Construction"/>
  </r>
  <r>
    <n v="14"/>
    <x v="0"/>
    <d v="2025-01-15T00:00:00"/>
    <x v="13"/>
    <n v="-200"/>
    <x v="0"/>
    <s v="Professional Services"/>
    <s v="Legal Fees"/>
    <s v=""/>
  </r>
  <r>
    <n v="15"/>
    <x v="0"/>
    <d v="2025-01-16T00:00:00"/>
    <x v="14"/>
    <n v="15000"/>
    <x v="1"/>
    <s v="Educational Revenue"/>
    <s v="Training Services"/>
    <s v="Best BPO"/>
  </r>
  <r>
    <n v="16"/>
    <x v="0"/>
    <d v="2025-01-17T00:00:00"/>
    <x v="15"/>
    <n v="-500"/>
    <x v="0"/>
    <s v="Financial Expenses"/>
    <s v="Bank Charges"/>
    <s v=""/>
  </r>
  <r>
    <n v="17"/>
    <x v="0"/>
    <d v="2025-01-18T00:00:00"/>
    <x v="16"/>
    <n v="1500"/>
    <x v="1"/>
    <s v="Sponsorship Income"/>
    <s v="Event Sponsorship"/>
    <s v="Ministry of Finance"/>
  </r>
  <r>
    <n v="18"/>
    <x v="0"/>
    <d v="2025-01-19T00:00:00"/>
    <x v="13"/>
    <n v="-200"/>
    <x v="0"/>
    <s v="Professional Services"/>
    <s v="Legal Fees"/>
    <s v=""/>
  </r>
  <r>
    <n v="19"/>
    <x v="0"/>
    <d v="2025-01-20T00:00:00"/>
    <x v="7"/>
    <n v="-50"/>
    <x v="0"/>
    <s v="Maintenance &amp; Repairs"/>
    <s v="Equipment Repair"/>
    <s v=""/>
  </r>
  <r>
    <n v="20"/>
    <x v="1"/>
    <d v="2025-02-01T00:00:00"/>
    <x v="0"/>
    <n v="-2000"/>
    <x v="0"/>
    <s v="Operational Expenses"/>
    <s v="Office Rent"/>
    <s v=""/>
  </r>
  <r>
    <n v="21"/>
    <x v="1"/>
    <d v="2025-02-02T00:00:00"/>
    <x v="1"/>
    <n v="-4530"/>
    <x v="0"/>
    <s v="Payroll Expenses"/>
    <s v="Salaries"/>
    <s v=""/>
  </r>
  <r>
    <n v="22"/>
    <x v="1"/>
    <d v="2025-02-03T00:00:00"/>
    <x v="2"/>
    <n v="-1888"/>
    <x v="0"/>
    <s v="Operational Expenses"/>
    <s v="Utilities"/>
    <s v=""/>
  </r>
  <r>
    <n v="23"/>
    <x v="1"/>
    <d v="2025-02-04T00:00:00"/>
    <x v="3"/>
    <n v="-600"/>
    <x v="0"/>
    <s v="Risk Management"/>
    <s v="Insurance Premium"/>
    <s v=""/>
  </r>
  <r>
    <n v="24"/>
    <x v="1"/>
    <d v="2025-02-05T00:00:00"/>
    <x v="8"/>
    <n v="-200"/>
    <x v="0"/>
    <s v="Advertising &amp; Promotions"/>
    <s v="Marketing Expense Expense"/>
    <s v=""/>
  </r>
  <r>
    <n v="25"/>
    <x v="1"/>
    <d v="2025-02-06T00:00:00"/>
    <x v="13"/>
    <n v="-200"/>
    <x v="0"/>
    <s v="Professional Services"/>
    <s v="Legal Fees"/>
    <s v=""/>
  </r>
  <r>
    <n v="26"/>
    <x v="1"/>
    <d v="2025-02-07T00:00:00"/>
    <x v="5"/>
    <n v="-240"/>
    <x v="0"/>
    <s v="Office Maintenance"/>
    <s v="Office Supplies"/>
    <s v=""/>
  </r>
  <r>
    <n v="27"/>
    <x v="1"/>
    <d v="2025-02-08T00:00:00"/>
    <x v="17"/>
    <n v="-300"/>
    <x v="0"/>
    <s v="Advertising &amp; Promotions"/>
    <s v="Marketing Expense"/>
    <s v=""/>
  </r>
  <r>
    <n v="28"/>
    <x v="1"/>
    <d v="2025-02-09T00:00:00"/>
    <x v="18"/>
    <n v="-150"/>
    <x v="0"/>
    <s v="Capital Expenditure"/>
    <s v="Equipment Purchase"/>
    <s v=""/>
  </r>
  <r>
    <n v="29"/>
    <x v="1"/>
    <d v="2025-02-10T00:00:00"/>
    <x v="10"/>
    <n v="-500"/>
    <x v="0"/>
    <s v="Payroll Expenses"/>
    <s v="Staff Bonus"/>
    <s v=""/>
  </r>
  <r>
    <n v="30"/>
    <x v="1"/>
    <d v="2025-02-11T00:00:00"/>
    <x v="17"/>
    <n v="-400"/>
    <x v="0"/>
    <s v="Advertising &amp; Promotions"/>
    <s v="Marketing Expense"/>
    <s v=""/>
  </r>
  <r>
    <n v="31"/>
    <x v="1"/>
    <d v="2025-02-12T00:00:00"/>
    <x v="19"/>
    <n v="-800"/>
    <x v="0"/>
    <s v="IT &amp; Software"/>
    <s v="Software Subscription"/>
    <s v=""/>
  </r>
  <r>
    <n v="32"/>
    <x v="1"/>
    <d v="2025-02-13T00:00:00"/>
    <x v="20"/>
    <n v="8000"/>
    <x v="1"/>
    <s v="Educational Revenue"/>
    <s v="Training Services"/>
    <s v="Ministry of Finance"/>
  </r>
  <r>
    <n v="33"/>
    <x v="1"/>
    <d v="2025-02-14T00:00:00"/>
    <x v="21"/>
    <n v="2000"/>
    <x v="1"/>
    <s v="Software Sales"/>
    <s v="Software Licensing"/>
    <s v="Alpha Co."/>
  </r>
  <r>
    <n v="34"/>
    <x v="1"/>
    <d v="2025-02-15T00:00:00"/>
    <x v="22"/>
    <n v="9000"/>
    <x v="1"/>
    <s v="Educational Revenue"/>
    <s v="Training Services"/>
    <s v="Gamma Enterprise"/>
  </r>
  <r>
    <n v="35"/>
    <x v="1"/>
    <d v="2025-02-16T00:00:00"/>
    <x v="13"/>
    <n v="-1000"/>
    <x v="0"/>
    <s v="Professional Services"/>
    <s v="Legal Fees"/>
    <s v=""/>
  </r>
  <r>
    <n v="36"/>
    <x v="1"/>
    <d v="2025-02-17T00:00:00"/>
    <x v="18"/>
    <n v="-250"/>
    <x v="0"/>
    <s v="Capital Expenditure"/>
    <s v="Equipment Purchase"/>
    <s v=""/>
  </r>
  <r>
    <n v="37"/>
    <x v="1"/>
    <d v="2025-02-18T00:00:00"/>
    <x v="23"/>
    <n v="6500"/>
    <x v="1"/>
    <s v="Service Revenue"/>
    <s v="Client Payment"/>
    <s v="Move Inc."/>
  </r>
  <r>
    <n v="38"/>
    <x v="1"/>
    <d v="2025-02-19T00:00:00"/>
    <x v="24"/>
    <n v="5600"/>
    <x v="1"/>
    <s v="Consulting Revenue"/>
    <s v="Advisory Fees"/>
    <s v="Beta Ltd."/>
  </r>
  <r>
    <n v="39"/>
    <x v="1"/>
    <d v="2025-02-20T00:00:00"/>
    <x v="5"/>
    <n v="-108"/>
    <x v="0"/>
    <s v="Office Maintenance"/>
    <s v="Office Supplies"/>
    <s v=""/>
  </r>
  <r>
    <n v="40"/>
    <x v="2"/>
    <d v="2025-03-01T00:00:00"/>
    <x v="0"/>
    <n v="-2000"/>
    <x v="0"/>
    <s v="Operational Expenses"/>
    <s v="Office Rent"/>
    <s v=""/>
  </r>
  <r>
    <n v="41"/>
    <x v="2"/>
    <d v="2025-03-02T00:00:00"/>
    <x v="1"/>
    <n v="-4530"/>
    <x v="0"/>
    <s v="Payroll Expenses"/>
    <s v="Salaries"/>
    <s v=""/>
  </r>
  <r>
    <n v="42"/>
    <x v="2"/>
    <d v="2025-03-03T00:00:00"/>
    <x v="2"/>
    <n v="-1888"/>
    <x v="0"/>
    <s v="Operational Expenses"/>
    <s v="Utilities"/>
    <s v=""/>
  </r>
  <r>
    <n v="43"/>
    <x v="2"/>
    <d v="2025-03-04T00:00:00"/>
    <x v="3"/>
    <n v="-600"/>
    <x v="0"/>
    <s v="Risk Management"/>
    <s v="Insurance Premium"/>
    <s v=""/>
  </r>
  <r>
    <n v="44"/>
    <x v="2"/>
    <d v="2025-03-05T00:00:00"/>
    <x v="18"/>
    <n v="-300"/>
    <x v="0"/>
    <s v="Capital Expenditure"/>
    <s v="Equipment Purchase"/>
    <s v=""/>
  </r>
  <r>
    <n v="45"/>
    <x v="2"/>
    <d v="2025-03-06T00:00:00"/>
    <x v="25"/>
    <n v="20000"/>
    <x v="1"/>
    <s v="Educational Revenue"/>
    <s v="Training Services"/>
    <s v="Move Inc."/>
  </r>
  <r>
    <n v="46"/>
    <x v="2"/>
    <d v="2025-03-07T00:00:00"/>
    <x v="19"/>
    <n v="-800"/>
    <x v="0"/>
    <s v="IT &amp; Software"/>
    <s v="Software Subscription"/>
    <s v=""/>
  </r>
  <r>
    <n v="47"/>
    <x v="2"/>
    <d v="2025-03-08T00:00:00"/>
    <x v="13"/>
    <n v="-500"/>
    <x v="0"/>
    <s v="Professional Services"/>
    <s v="Legal Fees"/>
    <s v=""/>
  </r>
  <r>
    <n v="48"/>
    <x v="2"/>
    <d v="2025-03-09T00:00:00"/>
    <x v="5"/>
    <n v="-280"/>
    <x v="0"/>
    <s v="Office Maintenance"/>
    <s v="Office Supplies"/>
    <s v=""/>
  </r>
  <r>
    <n v="49"/>
    <x v="2"/>
    <d v="2025-03-10T00:00:00"/>
    <x v="26"/>
    <n v="4000"/>
    <x v="1"/>
    <s v="Software Sales"/>
    <s v="Software Licensing"/>
    <s v="Beta Ltd."/>
  </r>
  <r>
    <n v="50"/>
    <x v="2"/>
    <d v="2025-03-11T00:00:00"/>
    <x v="17"/>
    <n v="-1200"/>
    <x v="0"/>
    <s v="Advertising &amp; Promotions"/>
    <s v="Marketing Expense"/>
    <s v=""/>
  </r>
  <r>
    <n v="51"/>
    <x v="2"/>
    <d v="2025-03-12T00:00:00"/>
    <x v="10"/>
    <n v="-500"/>
    <x v="0"/>
    <s v="Payroll Expenses"/>
    <s v="Staff Bonus"/>
    <s v=""/>
  </r>
  <r>
    <n v="52"/>
    <x v="2"/>
    <d v="2025-03-13T00:00:00"/>
    <x v="5"/>
    <n v="-80"/>
    <x v="0"/>
    <s v="Office Maintenance"/>
    <s v="Office Supplies"/>
    <s v=""/>
  </r>
  <r>
    <n v="53"/>
    <x v="2"/>
    <d v="2025-03-14T00:00:00"/>
    <x v="27"/>
    <n v="-230"/>
    <x v="0"/>
    <s v="Other Expenses"/>
    <s v="Miscellaneous Expenses"/>
    <s v=""/>
  </r>
  <r>
    <n v="54"/>
    <x v="2"/>
    <d v="2025-03-15T00:00:00"/>
    <x v="19"/>
    <n v="-800"/>
    <x v="0"/>
    <s v="IT &amp; Software"/>
    <s v="Software Subscription"/>
    <s v=""/>
  </r>
  <r>
    <n v="55"/>
    <x v="2"/>
    <d v="2025-03-16T00:00:00"/>
    <x v="15"/>
    <n v="-500"/>
    <x v="0"/>
    <s v="Financial Expenses"/>
    <s v="Bank Charges"/>
    <s v=""/>
  </r>
  <r>
    <n v="56"/>
    <x v="2"/>
    <d v="2025-03-17T00:00:00"/>
    <x v="5"/>
    <n v="-50"/>
    <x v="0"/>
    <s v="Office Maintenance"/>
    <s v="Office Supplies"/>
    <s v=""/>
  </r>
  <r>
    <n v="57"/>
    <x v="2"/>
    <d v="2025-03-18T00:00:00"/>
    <x v="18"/>
    <n v="-1000"/>
    <x v="0"/>
    <s v="Capital Expenditure"/>
    <s v="Equipment Purchase"/>
    <s v=""/>
  </r>
  <r>
    <n v="58"/>
    <x v="2"/>
    <d v="2025-03-19T00:00:00"/>
    <x v="5"/>
    <n v="-120"/>
    <x v="0"/>
    <s v="Office Maintenance"/>
    <s v="Office Supplies"/>
    <s v=""/>
  </r>
  <r>
    <n v="59"/>
    <x v="2"/>
    <d v="2025-03-20T00:00:00"/>
    <x v="18"/>
    <n v="-1500"/>
    <x v="0"/>
    <s v="Capital Expenditure"/>
    <s v="Equipment Purchase"/>
    <s v=""/>
  </r>
  <r>
    <n v="60"/>
    <x v="3"/>
    <d v="2025-04-01T00:00:00"/>
    <x v="0"/>
    <n v="-2000"/>
    <x v="0"/>
    <s v="Operational Expenses"/>
    <s v="Office Rent"/>
    <s v=""/>
  </r>
  <r>
    <n v="61"/>
    <x v="3"/>
    <d v="2025-04-02T00:00:00"/>
    <x v="1"/>
    <n v="-4583"/>
    <x v="0"/>
    <s v="Payroll Expenses"/>
    <s v="Salaries"/>
    <s v=""/>
  </r>
  <r>
    <n v="62"/>
    <x v="3"/>
    <d v="2025-04-03T00:00:00"/>
    <x v="2"/>
    <n v="-2588"/>
    <x v="0"/>
    <s v="Operational Expenses"/>
    <s v="Utilities"/>
    <s v=""/>
  </r>
  <r>
    <n v="63"/>
    <x v="3"/>
    <d v="2025-04-04T00:00:00"/>
    <x v="3"/>
    <n v="-600"/>
    <x v="0"/>
    <s v="Risk Management"/>
    <s v="Insurance Premium"/>
    <s v=""/>
  </r>
  <r>
    <n v="64"/>
    <x v="3"/>
    <d v="2025-04-05T00:00:00"/>
    <x v="28"/>
    <n v="-1100"/>
    <x v="0"/>
    <s v="Business Travel"/>
    <s v="Travel Expenses"/>
    <s v=""/>
  </r>
  <r>
    <n v="65"/>
    <x v="3"/>
    <d v="2025-04-06T00:00:00"/>
    <x v="27"/>
    <n v="-860"/>
    <x v="0"/>
    <s v="Other Expenses"/>
    <s v="Miscellaneous Expenses"/>
    <s v=""/>
  </r>
  <r>
    <n v="66"/>
    <x v="3"/>
    <d v="2025-04-07T00:00:00"/>
    <x v="5"/>
    <n v="-150"/>
    <x v="0"/>
    <s v="Office Maintenance"/>
    <s v="Office Supplies"/>
    <s v=""/>
  </r>
  <r>
    <n v="67"/>
    <x v="3"/>
    <d v="2025-04-08T00:00:00"/>
    <x v="29"/>
    <n v="5500"/>
    <x v="1"/>
    <s v="Consulting Revenue"/>
    <s v="Advisory Fees"/>
    <s v="ABC Bank"/>
  </r>
  <r>
    <n v="68"/>
    <x v="3"/>
    <d v="2025-04-09T00:00:00"/>
    <x v="5"/>
    <n v="-120"/>
    <x v="0"/>
    <s v="Office Maintenance"/>
    <s v="Office Supplies"/>
    <s v=""/>
  </r>
  <r>
    <n v="69"/>
    <x v="3"/>
    <d v="2025-04-10T00:00:00"/>
    <x v="12"/>
    <n v="3000"/>
    <x v="1"/>
    <s v="Sponsorship Income"/>
    <s v="Event Sponsorship"/>
    <s v="AA Construction"/>
  </r>
  <r>
    <n v="70"/>
    <x v="3"/>
    <d v="2025-04-11T00:00:00"/>
    <x v="19"/>
    <n v="-1100"/>
    <x v="0"/>
    <s v="IT &amp; Software"/>
    <s v="Software Subscription"/>
    <s v=""/>
  </r>
  <r>
    <n v="71"/>
    <x v="3"/>
    <d v="2025-04-12T00:00:00"/>
    <x v="30"/>
    <n v="8200"/>
    <x v="1"/>
    <s v="Service Revenue"/>
    <s v="Client Payment"/>
    <s v="Tech Co."/>
  </r>
  <r>
    <n v="72"/>
    <x v="3"/>
    <d v="2025-04-13T00:00:00"/>
    <x v="28"/>
    <n v="-1200"/>
    <x v="0"/>
    <s v="Business Travel"/>
    <s v="Travel Expenses"/>
    <s v=""/>
  </r>
  <r>
    <n v="73"/>
    <x v="3"/>
    <d v="2025-04-14T00:00:00"/>
    <x v="10"/>
    <n v="-500"/>
    <x v="0"/>
    <s v="Payroll Expenses"/>
    <s v="Staff Bonus"/>
    <s v=""/>
  </r>
  <r>
    <n v="74"/>
    <x v="3"/>
    <d v="2025-04-15T00:00:00"/>
    <x v="17"/>
    <n v="-780"/>
    <x v="0"/>
    <s v="Advertising &amp; Promotions"/>
    <s v="Marketing Expense"/>
    <s v=""/>
  </r>
  <r>
    <n v="75"/>
    <x v="3"/>
    <d v="2025-04-16T00:00:00"/>
    <x v="7"/>
    <n v="-120"/>
    <x v="0"/>
    <s v="Maintenance &amp; Repairs"/>
    <s v="Equipment Repair"/>
    <s v=""/>
  </r>
  <r>
    <n v="76"/>
    <x v="3"/>
    <d v="2025-04-17T00:00:00"/>
    <x v="31"/>
    <n v="4000"/>
    <x v="1"/>
    <s v="Sponsorship Income"/>
    <s v="Event Sponsorship"/>
    <s v="Tech Co."/>
  </r>
  <r>
    <n v="77"/>
    <x v="3"/>
    <d v="2025-04-18T00:00:00"/>
    <x v="32"/>
    <n v="9000"/>
    <x v="1"/>
    <s v="Professional Fees"/>
    <s v="Consulting Fee"/>
    <s v="Move Inc."/>
  </r>
  <r>
    <n v="78"/>
    <x v="3"/>
    <d v="2025-04-19T00:00:00"/>
    <x v="33"/>
    <n v="4000"/>
    <x v="1"/>
    <s v="Software Sales"/>
    <s v="Software Licensing"/>
    <s v="Tech Co."/>
  </r>
  <r>
    <n v="79"/>
    <x v="3"/>
    <d v="2025-04-20T00:00:00"/>
    <x v="17"/>
    <n v="-800"/>
    <x v="0"/>
    <s v="Advertising &amp; Promotions"/>
    <s v="Marketing Expense"/>
    <s v=""/>
  </r>
  <r>
    <n v="80"/>
    <x v="4"/>
    <d v="2025-05-01T00:00:00"/>
    <x v="0"/>
    <n v="-2000"/>
    <x v="0"/>
    <s v="Operational Expenses"/>
    <s v="Office Rent"/>
    <s v=""/>
  </r>
  <r>
    <n v="81"/>
    <x v="4"/>
    <d v="2025-05-02T00:00:00"/>
    <x v="1"/>
    <n v="-5530"/>
    <x v="0"/>
    <s v="Payroll Expenses"/>
    <s v="Salaries"/>
    <s v=""/>
  </r>
  <r>
    <n v="82"/>
    <x v="4"/>
    <d v="2025-05-03T00:00:00"/>
    <x v="2"/>
    <n v="-2500"/>
    <x v="0"/>
    <s v="Operational Expenses"/>
    <s v="Utilities"/>
    <s v=""/>
  </r>
  <r>
    <n v="83"/>
    <x v="4"/>
    <d v="2025-05-04T00:00:00"/>
    <x v="3"/>
    <n v="-600"/>
    <x v="0"/>
    <s v="Risk Management"/>
    <s v="Insurance Premium"/>
    <s v=""/>
  </r>
  <r>
    <n v="84"/>
    <x v="4"/>
    <d v="2025-05-05T00:00:00"/>
    <x v="7"/>
    <n v="-125"/>
    <x v="0"/>
    <s v="Maintenance &amp; Repairs"/>
    <s v="Equipment Repair"/>
    <s v=""/>
  </r>
  <r>
    <n v="85"/>
    <x v="4"/>
    <d v="2025-05-06T00:00:00"/>
    <x v="19"/>
    <n v="-1100"/>
    <x v="0"/>
    <s v="IT &amp; Software"/>
    <s v="Software Subscription"/>
    <s v=""/>
  </r>
  <r>
    <n v="86"/>
    <x v="4"/>
    <d v="2025-05-07T00:00:00"/>
    <x v="15"/>
    <n v="-500"/>
    <x v="0"/>
    <s v="Financial Expenses"/>
    <s v="Bank Charges"/>
    <s v=""/>
  </r>
  <r>
    <n v="87"/>
    <x v="4"/>
    <d v="2025-05-08T00:00:00"/>
    <x v="34"/>
    <n v="6000"/>
    <x v="1"/>
    <s v="Consulting Revenue"/>
    <s v="Advisory Fees"/>
    <s v="Alfred Bakery"/>
  </r>
  <r>
    <n v="88"/>
    <x v="4"/>
    <d v="2025-05-09T00:00:00"/>
    <x v="17"/>
    <n v="-1200"/>
    <x v="0"/>
    <s v="Advertising &amp; Promotions"/>
    <s v="Marketing Expense"/>
    <s v=""/>
  </r>
  <r>
    <n v="89"/>
    <x v="4"/>
    <d v="2025-05-10T00:00:00"/>
    <x v="35"/>
    <n v="15000"/>
    <x v="1"/>
    <s v="Service Revenue"/>
    <s v="Client Payment"/>
    <s v="Bloom School"/>
  </r>
  <r>
    <n v="90"/>
    <x v="4"/>
    <d v="2025-05-11T00:00:00"/>
    <x v="7"/>
    <n v="-60"/>
    <x v="0"/>
    <s v="Maintenance &amp; Repairs"/>
    <s v="Equipment Repair"/>
    <s v=""/>
  </r>
  <r>
    <n v="91"/>
    <x v="4"/>
    <d v="2025-05-12T00:00:00"/>
    <x v="27"/>
    <n v="-630"/>
    <x v="0"/>
    <s v="Other Expenses"/>
    <s v="Miscellaneous Expenses"/>
    <s v=""/>
  </r>
  <r>
    <n v="92"/>
    <x v="4"/>
    <d v="2025-05-13T00:00:00"/>
    <x v="27"/>
    <n v="-250"/>
    <x v="0"/>
    <s v="Other Expenses"/>
    <s v="Miscellaneous Expenses"/>
    <s v=""/>
  </r>
  <r>
    <n v="93"/>
    <x v="4"/>
    <d v="2025-05-14T00:00:00"/>
    <x v="10"/>
    <n v="-1500"/>
    <x v="0"/>
    <s v="Payroll Expenses"/>
    <s v="Staff Bonus"/>
    <s v=""/>
  </r>
  <r>
    <n v="94"/>
    <x v="4"/>
    <d v="2025-05-15T00:00:00"/>
    <x v="28"/>
    <n v="-1100"/>
    <x v="0"/>
    <s v="Business Travel"/>
    <s v="Travel Expenses"/>
    <s v=""/>
  </r>
  <r>
    <n v="95"/>
    <x v="4"/>
    <d v="2025-05-16T00:00:00"/>
    <x v="15"/>
    <n v="-500"/>
    <x v="0"/>
    <s v="Financial Expenses"/>
    <s v="Bank Charges"/>
    <s v=""/>
  </r>
  <r>
    <n v="96"/>
    <x v="4"/>
    <d v="2025-05-17T00:00:00"/>
    <x v="13"/>
    <n v="-3000"/>
    <x v="0"/>
    <s v="Professional Services"/>
    <s v="Legal Fees"/>
    <s v=""/>
  </r>
  <r>
    <n v="97"/>
    <x v="4"/>
    <d v="2025-05-18T00:00:00"/>
    <x v="15"/>
    <n v="-500"/>
    <x v="0"/>
    <s v="Financial Expenses"/>
    <s v="Bank Charges"/>
    <s v=""/>
  </r>
  <r>
    <n v="98"/>
    <x v="4"/>
    <d v="2025-05-19T00:00:00"/>
    <x v="36"/>
    <n v="5000"/>
    <x v="1"/>
    <s v="Sponsorship Income"/>
    <s v="Event Sponsorship"/>
    <s v="NN Bank"/>
  </r>
  <r>
    <n v="99"/>
    <x v="4"/>
    <d v="2025-05-20T00:00:00"/>
    <x v="7"/>
    <n v="-80"/>
    <x v="0"/>
    <s v="Maintenance &amp; Repairs"/>
    <s v="Equipment Repair"/>
    <s v=""/>
  </r>
  <r>
    <n v="100"/>
    <x v="5"/>
    <d v="2025-06-01T00:00:00"/>
    <x v="0"/>
    <n v="-2000"/>
    <x v="0"/>
    <s v="Operational Expenses"/>
    <s v="Office Rent"/>
    <s v=""/>
  </r>
  <r>
    <n v="101"/>
    <x v="5"/>
    <d v="2025-06-02T00:00:00"/>
    <x v="1"/>
    <n v="-5200"/>
    <x v="0"/>
    <s v="Payroll Expenses"/>
    <s v="Salaries"/>
    <s v=""/>
  </r>
  <r>
    <n v="102"/>
    <x v="5"/>
    <d v="2025-06-03T00:00:00"/>
    <x v="2"/>
    <n v="-2588"/>
    <x v="0"/>
    <s v="Operational Expenses"/>
    <s v="Utilities"/>
    <s v=""/>
  </r>
  <r>
    <n v="103"/>
    <x v="5"/>
    <d v="2025-06-04T00:00:00"/>
    <x v="3"/>
    <n v="-600"/>
    <x v="0"/>
    <s v="Risk Management"/>
    <s v="Insurance Premium"/>
    <s v=""/>
  </r>
  <r>
    <n v="104"/>
    <x v="5"/>
    <d v="2025-06-05T00:00:00"/>
    <x v="17"/>
    <n v="-500"/>
    <x v="0"/>
    <s v="Advertising &amp; Promotions"/>
    <s v="Marketing Expense"/>
    <s v=""/>
  </r>
  <r>
    <n v="105"/>
    <x v="5"/>
    <d v="2025-06-06T00:00:00"/>
    <x v="5"/>
    <n v="-240"/>
    <x v="0"/>
    <s v="Office Maintenance"/>
    <s v="Office Supplies"/>
    <s v=""/>
  </r>
  <r>
    <n v="106"/>
    <x v="5"/>
    <d v="2025-06-07T00:00:00"/>
    <x v="28"/>
    <n v="-1200"/>
    <x v="0"/>
    <s v="Business Travel"/>
    <s v="Travel Expenses"/>
    <s v=""/>
  </r>
  <r>
    <n v="107"/>
    <x v="5"/>
    <d v="2025-06-08T00:00:00"/>
    <x v="18"/>
    <n v="-800"/>
    <x v="0"/>
    <s v="Capital Expenditure"/>
    <s v="Equipment Purchase"/>
    <s v=""/>
  </r>
  <r>
    <n v="108"/>
    <x v="5"/>
    <d v="2025-06-09T00:00:00"/>
    <x v="5"/>
    <n v="-55"/>
    <x v="0"/>
    <s v="Office Maintenance"/>
    <s v="Office Supplies"/>
    <s v=""/>
  </r>
  <r>
    <n v="109"/>
    <x v="5"/>
    <d v="2025-06-10T00:00:00"/>
    <x v="7"/>
    <n v="-340"/>
    <x v="0"/>
    <s v="Maintenance &amp; Repairs"/>
    <s v="Equipment Repair"/>
    <s v=""/>
  </r>
  <r>
    <n v="110"/>
    <x v="5"/>
    <d v="2025-06-11T00:00:00"/>
    <x v="37"/>
    <n v="5300"/>
    <x v="1"/>
    <s v="Consulting Revenue"/>
    <s v="Advisory Fees"/>
    <s v="Flex Printers"/>
  </r>
  <r>
    <n v="111"/>
    <x v="5"/>
    <d v="2025-06-12T00:00:00"/>
    <x v="19"/>
    <n v="-1100"/>
    <x v="0"/>
    <s v="IT &amp; Software"/>
    <s v="Software Subscription"/>
    <s v=""/>
  </r>
  <r>
    <n v="112"/>
    <x v="5"/>
    <d v="2025-06-13T00:00:00"/>
    <x v="15"/>
    <n v="-500"/>
    <x v="0"/>
    <s v="Financial Expenses"/>
    <s v="Bank Charges"/>
    <s v=""/>
  </r>
  <r>
    <n v="113"/>
    <x v="5"/>
    <d v="2025-06-14T00:00:00"/>
    <x v="7"/>
    <n v="-600"/>
    <x v="0"/>
    <s v="Maintenance &amp; Repairs"/>
    <s v="Equipment Repair"/>
    <s v=""/>
  </r>
  <r>
    <n v="114"/>
    <x v="5"/>
    <d v="2025-06-15T00:00:00"/>
    <x v="10"/>
    <n v="-2500"/>
    <x v="0"/>
    <s v="Payroll Expenses"/>
    <s v="Staff Bonus"/>
    <s v=""/>
  </r>
  <r>
    <n v="115"/>
    <x v="5"/>
    <d v="2025-06-16T00:00:00"/>
    <x v="5"/>
    <n v="-48"/>
    <x v="0"/>
    <s v="Office Maintenance"/>
    <s v="Office Supplies"/>
    <s v=""/>
  </r>
  <r>
    <n v="116"/>
    <x v="5"/>
    <d v="2025-06-17T00:00:00"/>
    <x v="38"/>
    <n v="4000"/>
    <x v="1"/>
    <s v="Software Sales"/>
    <s v="Software Licensing"/>
    <s v="Bloom School"/>
  </r>
  <r>
    <n v="117"/>
    <x v="5"/>
    <d v="2025-06-18T00:00:00"/>
    <x v="39"/>
    <n v="15000"/>
    <x v="1"/>
    <s v="Professional Fees"/>
    <s v="Consulting Fee"/>
    <s v="Ink Shop"/>
  </r>
  <r>
    <n v="118"/>
    <x v="5"/>
    <d v="2025-06-19T00:00:00"/>
    <x v="29"/>
    <n v="8000"/>
    <x v="1"/>
    <s v="Consulting Revenue"/>
    <s v="Advisory Fees"/>
    <s v="ABC Bank"/>
  </r>
  <r>
    <n v="119"/>
    <x v="5"/>
    <d v="2025-06-20T00:00:00"/>
    <x v="27"/>
    <n v="-560"/>
    <x v="0"/>
    <s v="Other Expenses"/>
    <s v="Miscellaneous Expenses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46136-38F2-4C4C-9D88-35B6503C3B5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D10" firstHeaderRow="1" firstDataRow="2" firstDataCol="1"/>
  <pivotFields count="7"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numFmtId="16" outline="0" showAll="0"/>
    <pivotField compact="0" outline="0" showAll="0"/>
    <pivotField dataField="1" compact="0" outline="0" showAll="0"/>
    <pivotField axis="axisCol" compact="0" outline="0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3">
    <i>
      <x v="1"/>
    </i>
    <i>
      <x/>
    </i>
    <i t="grand">
      <x/>
    </i>
  </colItems>
  <dataFields count="1">
    <dataField name="Sum of Amount ($)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75622-83C0-4D07-9E58-EC39D1ADBF3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4:B19" firstHeaderRow="1" firstDataRow="1" firstDataCol="1" rowPageCount="1" colPageCount="1"/>
  <pivotFields count="7">
    <pivotField compact="0" outline="0" showAll="0"/>
    <pivotField compact="0" outline="0" showAll="0"/>
    <pivotField compact="0" numFmtId="16" outline="0" showAll="0"/>
    <pivotField axis="axisRow" compact="0" outline="0" showAll="0">
      <items count="22">
        <item x="18"/>
        <item x="14"/>
        <item x="17"/>
        <item x="9"/>
        <item x="6"/>
        <item x="15"/>
        <item x="7"/>
        <item x="11"/>
        <item x="3"/>
        <item x="12"/>
        <item x="8"/>
        <item x="19"/>
        <item x="0"/>
        <item x="5"/>
        <item x="1"/>
        <item x="4"/>
        <item x="16"/>
        <item x="10"/>
        <item x="13"/>
        <item x="20"/>
        <item x="2"/>
        <item t="default"/>
      </items>
    </pivotField>
    <pivotField dataField="1" compact="0" outline="0" showAll="0"/>
    <pivotField axis="axisPage" compact="0" outline="0" multipleItemSelectionAllowed="1" showAll="0">
      <items count="3">
        <item x="0"/>
        <item h="1" x="1"/>
        <item t="default"/>
      </items>
    </pivotField>
    <pivotField compact="0" outline="0" showAll="0"/>
  </pivotFields>
  <rowFields count="1">
    <field x="3"/>
  </rowFields>
  <rowItems count="15">
    <i>
      <x v="1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9"/>
    </i>
    <i>
      <x v="20"/>
    </i>
    <i t="grand">
      <x/>
    </i>
  </rowItems>
  <colItems count="1">
    <i/>
  </colItems>
  <pageFields count="1">
    <pageField fld="5" hier="-1"/>
  </pageFields>
  <dataFields count="1">
    <dataField name="Sum of Amount ($)" fld="4" baseField="3" baseItem="1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B19DD-2244-490F-9532-DA338E8E459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>
  <location ref="A4:B6" firstHeaderRow="1" firstDataRow="1" firstDataCol="1" rowPageCount="1" colPageCount="1"/>
  <pivotFields count="8">
    <pivotField compact="0" outline="0" showAll="0"/>
    <pivotField compact="0" outline="0" showAll="0"/>
    <pivotField compact="0" numFmtId="16" outline="0" showAll="0"/>
    <pivotField compact="0" outline="0" showAll="0"/>
    <pivotField dataField="1" compact="0" outline="0" showAll="0"/>
    <pivotField axis="axisPage" compact="0" outline="0" multipleItemSelectionAllowed="1" showAll="0">
      <items count="3">
        <item h="1" x="0"/>
        <item x="1"/>
        <item t="default"/>
      </items>
    </pivotField>
    <pivotField compact="0" outline="0" showAll="0"/>
    <pivotField axis="axisRow" compact="0" outline="0" showAll="0" measureFilter="1" sortType="descending">
      <items count="20">
        <item x="0"/>
        <item x="5"/>
        <item x="11"/>
        <item x="14"/>
        <item x="8"/>
        <item x="6"/>
        <item x="2"/>
        <item x="15"/>
        <item x="17"/>
        <item x="9"/>
        <item x="18"/>
        <item x="7"/>
        <item x="13"/>
        <item x="10"/>
        <item x="16"/>
        <item x="3"/>
        <item x="1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2">
    <i>
      <x v="13"/>
    </i>
    <i t="grand">
      <x/>
    </i>
  </rowItems>
  <colItems count="1">
    <i/>
  </colItems>
  <pageFields count="1">
    <pageField fld="5" hier="-1"/>
  </pageFields>
  <dataFields count="1">
    <dataField name="Sum of Amount ($)" fld="4" baseField="0" baseItem="0" numFmtId="164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C9638-F5F9-4A1C-807D-C36377750B3C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C15" firstHeaderRow="1" firstDataRow="1" firstDataCol="2" rowPageCount="1" colPageCount="1"/>
  <pivotFields count="9">
    <pivotField compact="0" outline="0" showAll="0"/>
    <pivotField axis="axisRow" compact="0" outline="0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" outline="0" showAll="0"/>
    <pivotField axis="axisPage" compact="0" outline="0" multipleItemSelectionAllowed="1" showAll="0">
      <items count="41">
        <item h="1" x="29"/>
        <item h="1" x="34"/>
        <item h="1" x="24"/>
        <item h="1" x="37"/>
        <item h="1" x="15"/>
        <item h="1" x="35"/>
        <item h="1" x="23"/>
        <item h="1" x="9"/>
        <item h="1" x="30"/>
        <item h="1" x="6"/>
        <item h="1" x="39"/>
        <item h="1" x="32"/>
        <item h="1" x="18"/>
        <item h="1" x="7"/>
        <item h="1" x="12"/>
        <item h="1" x="16"/>
        <item h="1" x="36"/>
        <item h="1" x="31"/>
        <item h="1" x="11"/>
        <item h="1" x="3"/>
        <item h="1" x="13"/>
        <item x="17"/>
        <item h="1" x="8"/>
        <item h="1" x="27"/>
        <item h="1" x="0"/>
        <item h="1" x="5"/>
        <item h="1" x="1"/>
        <item h="1" x="21"/>
        <item h="1" x="26"/>
        <item h="1" x="38"/>
        <item h="1" x="33"/>
        <item h="1" x="4"/>
        <item h="1" x="19"/>
        <item h="1" x="10"/>
        <item h="1" x="14"/>
        <item h="1" x="22"/>
        <item h="1" x="20"/>
        <item h="1" x="25"/>
        <item h="1" x="28"/>
        <item h="1" x="2"/>
        <item t="default"/>
      </items>
    </pivotField>
    <pivotField dataField="1"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1"/>
    <field x="5"/>
  </rowFields>
  <rowItems count="11">
    <i>
      <x v="5"/>
      <x/>
    </i>
    <i t="default">
      <x v="5"/>
    </i>
    <i>
      <x v="1"/>
      <x/>
    </i>
    <i t="default">
      <x v="1"/>
    </i>
    <i>
      <x v="4"/>
      <x/>
    </i>
    <i t="default">
      <x v="4"/>
    </i>
    <i>
      <x v="2"/>
      <x/>
    </i>
    <i t="default">
      <x v="2"/>
    </i>
    <i>
      <x v="3"/>
      <x/>
    </i>
    <i t="default">
      <x v="3"/>
    </i>
    <i t="grand">
      <x/>
    </i>
  </rowItems>
  <colItems count="1">
    <i/>
  </colItems>
  <pageFields count="1">
    <pageField fld="3" hier="-1"/>
  </pageFields>
  <dataFields count="1">
    <dataField name="Sum of Amount ($)" fld="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8D8CAA-EF3B-476B-847D-0C36DF260EF6}" name="Table1" displayName="Table1" ref="A2:B10" totalsRowShown="0">
  <autoFilter ref="A2:B10" xr:uid="{5D8D8CAA-EF3B-476B-847D-0C36DF260EF6}"/>
  <tableColumns count="2">
    <tableColumn id="1" xr3:uid="{24DE0021-5432-4A65-BCC9-9C3BDBBF904B}" name="Client Name" dataDxfId="0"/>
    <tableColumn id="2" xr3:uid="{9EF2867F-ACCB-4767-BE33-495A5C8F589A}" name="Count of Ro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1F46-8247-4951-88BA-45A078C1379E}">
  <dimension ref="A1:I121"/>
  <sheetViews>
    <sheetView workbookViewId="0">
      <selection activeCell="E1" sqref="E1"/>
    </sheetView>
  </sheetViews>
  <sheetFormatPr defaultRowHeight="15" x14ac:dyDescent="0.25"/>
  <cols>
    <col min="1" max="1" width="9.140625" style="4"/>
    <col min="3" max="3" width="18.5703125" bestFit="1" customWidth="1"/>
    <col min="4" max="4" width="21.5703125" customWidth="1"/>
    <col min="5" max="5" width="19.85546875" customWidth="1"/>
    <col min="6" max="6" width="14.7109375" customWidth="1"/>
    <col min="7" max="7" width="15.85546875" style="3" customWidth="1"/>
    <col min="9" max="9" width="29.7109375" customWidth="1"/>
  </cols>
  <sheetData>
    <row r="1" spans="1:9" x14ac:dyDescent="0.25">
      <c r="A1" s="7" t="s">
        <v>0</v>
      </c>
      <c r="B1" s="8" t="s">
        <v>1</v>
      </c>
      <c r="C1" s="8" t="s">
        <v>47</v>
      </c>
      <c r="D1" s="8" t="s">
        <v>2</v>
      </c>
      <c r="E1" s="8" t="s">
        <v>89</v>
      </c>
      <c r="F1" s="8" t="s">
        <v>90</v>
      </c>
      <c r="G1" s="9" t="s">
        <v>3</v>
      </c>
      <c r="H1" s="8" t="s">
        <v>4</v>
      </c>
      <c r="I1" s="8" t="s">
        <v>5</v>
      </c>
    </row>
    <row r="2" spans="1:9" x14ac:dyDescent="0.25">
      <c r="A2" s="4">
        <v>0</v>
      </c>
      <c r="B2" t="s">
        <v>6</v>
      </c>
      <c r="C2" s="1">
        <v>45658</v>
      </c>
      <c r="D2" t="s">
        <v>7</v>
      </c>
      <c r="E2" t="str">
        <f>IF(ISNUMBER(FIND("-", $D2)),_xlfn.TEXTBEFORE($D2,"-"), $D2)</f>
        <v>Office Rent</v>
      </c>
      <c r="F2" t="str">
        <f>IF(ISNUMBER(FIND("-", $D2)),TRIM(_xlfn.TEXTAFTER($D2,"-")),"")</f>
        <v/>
      </c>
      <c r="G2" s="3">
        <v>-2000</v>
      </c>
      <c r="H2" t="s">
        <v>8</v>
      </c>
      <c r="I2" t="s">
        <v>9</v>
      </c>
    </row>
    <row r="3" spans="1:9" x14ac:dyDescent="0.25">
      <c r="A3" s="4">
        <v>1</v>
      </c>
      <c r="B3" t="s">
        <v>6</v>
      </c>
      <c r="C3" s="1">
        <v>45659</v>
      </c>
      <c r="D3" t="s">
        <v>10</v>
      </c>
      <c r="E3" t="str">
        <f t="shared" ref="E3:E66" si="0">IF(ISNUMBER(FIND("-", $D3)),_xlfn.TEXTBEFORE($D3,"-"), $D3)</f>
        <v>Salaries</v>
      </c>
      <c r="F3" t="str">
        <f t="shared" ref="F3:F66" si="1">IF(ISNUMBER(FIND("-", $D3)),TRIM(_xlfn.TEXTAFTER($D3,"-")),"")</f>
        <v/>
      </c>
      <c r="G3" s="3">
        <v>-4530</v>
      </c>
      <c r="H3" t="s">
        <v>8</v>
      </c>
      <c r="I3" t="s">
        <v>11</v>
      </c>
    </row>
    <row r="4" spans="1:9" x14ac:dyDescent="0.25">
      <c r="A4" s="4">
        <v>2</v>
      </c>
      <c r="B4" t="s">
        <v>6</v>
      </c>
      <c r="C4" s="1">
        <v>45660</v>
      </c>
      <c r="D4" t="s">
        <v>12</v>
      </c>
      <c r="E4" t="str">
        <f t="shared" si="0"/>
        <v>Utilities</v>
      </c>
      <c r="F4" t="str">
        <f t="shared" si="1"/>
        <v/>
      </c>
      <c r="G4" s="3">
        <v>-1888</v>
      </c>
      <c r="H4" t="s">
        <v>8</v>
      </c>
      <c r="I4" t="s">
        <v>9</v>
      </c>
    </row>
    <row r="5" spans="1:9" x14ac:dyDescent="0.25">
      <c r="A5" s="4">
        <v>3</v>
      </c>
      <c r="B5" t="s">
        <v>6</v>
      </c>
      <c r="C5" s="1">
        <v>45661</v>
      </c>
      <c r="D5" t="s">
        <v>13</v>
      </c>
      <c r="E5" t="str">
        <f t="shared" si="0"/>
        <v>Insurance Premium</v>
      </c>
      <c r="F5" t="str">
        <f t="shared" si="1"/>
        <v/>
      </c>
      <c r="G5" s="2">
        <v>-600</v>
      </c>
      <c r="H5" t="s">
        <v>8</v>
      </c>
      <c r="I5" t="s">
        <v>14</v>
      </c>
    </row>
    <row r="6" spans="1:9" x14ac:dyDescent="0.25">
      <c r="A6" s="4">
        <v>4</v>
      </c>
      <c r="B6" t="s">
        <v>6</v>
      </c>
      <c r="C6" s="1">
        <v>45662</v>
      </c>
      <c r="D6" t="s">
        <v>68</v>
      </c>
      <c r="E6" t="str">
        <f t="shared" si="0"/>
        <v>Software Licensing</v>
      </c>
      <c r="F6" t="str">
        <f t="shared" si="1"/>
        <v>Teens Co.</v>
      </c>
      <c r="G6" s="3">
        <v>8000</v>
      </c>
      <c r="H6" t="s">
        <v>15</v>
      </c>
      <c r="I6" t="s">
        <v>16</v>
      </c>
    </row>
    <row r="7" spans="1:9" x14ac:dyDescent="0.25">
      <c r="A7" s="4">
        <v>5</v>
      </c>
      <c r="B7" t="s">
        <v>6</v>
      </c>
      <c r="C7" s="1">
        <v>45663</v>
      </c>
      <c r="D7" t="s">
        <v>17</v>
      </c>
      <c r="E7" t="str">
        <f t="shared" si="0"/>
        <v>Office Supplies</v>
      </c>
      <c r="F7" t="str">
        <f t="shared" si="1"/>
        <v/>
      </c>
      <c r="G7" s="3">
        <v>-280</v>
      </c>
      <c r="H7" t="s">
        <v>8</v>
      </c>
      <c r="I7" t="s">
        <v>18</v>
      </c>
    </row>
    <row r="8" spans="1:9" x14ac:dyDescent="0.25">
      <c r="A8" s="4">
        <v>6</v>
      </c>
      <c r="B8" t="s">
        <v>6</v>
      </c>
      <c r="C8" s="1">
        <v>45664</v>
      </c>
      <c r="D8" t="s">
        <v>69</v>
      </c>
      <c r="E8" t="str">
        <f t="shared" si="0"/>
        <v>Consulting Fee</v>
      </c>
      <c r="F8" t="str">
        <f t="shared" si="1"/>
        <v>Beta Ltd.</v>
      </c>
      <c r="G8" s="3">
        <v>10000</v>
      </c>
      <c r="H8" t="s">
        <v>15</v>
      </c>
      <c r="I8" t="s">
        <v>19</v>
      </c>
    </row>
    <row r="9" spans="1:9" x14ac:dyDescent="0.25">
      <c r="A9" s="4">
        <v>7</v>
      </c>
      <c r="B9" t="s">
        <v>6</v>
      </c>
      <c r="C9" s="1">
        <v>45665</v>
      </c>
      <c r="D9" t="s">
        <v>20</v>
      </c>
      <c r="E9" t="str">
        <f t="shared" si="0"/>
        <v>Equipment Repair</v>
      </c>
      <c r="F9" t="str">
        <f t="shared" si="1"/>
        <v/>
      </c>
      <c r="G9" s="3">
        <v>-250</v>
      </c>
      <c r="H9" t="s">
        <v>8</v>
      </c>
      <c r="I9" t="s">
        <v>21</v>
      </c>
    </row>
    <row r="10" spans="1:9" x14ac:dyDescent="0.25">
      <c r="A10" s="4">
        <v>8</v>
      </c>
      <c r="B10" t="s">
        <v>6</v>
      </c>
      <c r="C10" s="1">
        <v>45666</v>
      </c>
      <c r="D10" t="s">
        <v>92</v>
      </c>
      <c r="E10" t="str">
        <f t="shared" si="0"/>
        <v>Marketing Expense Expense</v>
      </c>
      <c r="F10" t="str">
        <f t="shared" si="1"/>
        <v/>
      </c>
      <c r="G10" s="3">
        <v>-300</v>
      </c>
      <c r="H10" t="s">
        <v>8</v>
      </c>
      <c r="I10" t="s">
        <v>23</v>
      </c>
    </row>
    <row r="11" spans="1:9" x14ac:dyDescent="0.25">
      <c r="A11" s="4">
        <v>9</v>
      </c>
      <c r="B11" t="s">
        <v>6</v>
      </c>
      <c r="C11" s="1">
        <v>45667</v>
      </c>
      <c r="D11" t="s">
        <v>46</v>
      </c>
      <c r="E11" t="str">
        <f t="shared" si="0"/>
        <v>Client Payment</v>
      </c>
      <c r="F11" t="str">
        <f t="shared" si="1"/>
        <v>Tech Co</v>
      </c>
      <c r="G11" s="3">
        <v>1000</v>
      </c>
      <c r="H11" t="s">
        <v>15</v>
      </c>
      <c r="I11" t="s">
        <v>19</v>
      </c>
    </row>
    <row r="12" spans="1:9" x14ac:dyDescent="0.25">
      <c r="A12" s="4">
        <v>10</v>
      </c>
      <c r="B12" t="s">
        <v>6</v>
      </c>
      <c r="C12" s="1">
        <v>45668</v>
      </c>
      <c r="D12" t="s">
        <v>24</v>
      </c>
      <c r="E12" t="str">
        <f t="shared" si="0"/>
        <v>Staff Bonus</v>
      </c>
      <c r="F12" t="str">
        <f t="shared" si="1"/>
        <v/>
      </c>
      <c r="G12" s="3">
        <v>-500</v>
      </c>
      <c r="H12" t="s">
        <v>8</v>
      </c>
      <c r="I12" t="s">
        <v>11</v>
      </c>
    </row>
    <row r="13" spans="1:9" x14ac:dyDescent="0.25">
      <c r="A13" s="4">
        <v>11</v>
      </c>
      <c r="B13" t="s">
        <v>6</v>
      </c>
      <c r="C13" s="1">
        <v>45669</v>
      </c>
      <c r="D13" t="s">
        <v>70</v>
      </c>
      <c r="E13" t="str">
        <f t="shared" si="0"/>
        <v>Event Sponsorship</v>
      </c>
      <c r="F13" t="str">
        <f t="shared" si="1"/>
        <v>Tech Co.</v>
      </c>
      <c r="G13" s="3">
        <v>2000</v>
      </c>
      <c r="H13" t="s">
        <v>15</v>
      </c>
      <c r="I13" t="s">
        <v>25</v>
      </c>
    </row>
    <row r="14" spans="1:9" x14ac:dyDescent="0.25">
      <c r="A14" s="4">
        <v>12</v>
      </c>
      <c r="B14" t="s">
        <v>6</v>
      </c>
      <c r="C14" s="1">
        <v>45670</v>
      </c>
      <c r="D14" t="s">
        <v>20</v>
      </c>
      <c r="E14" t="str">
        <f t="shared" si="0"/>
        <v>Equipment Repair</v>
      </c>
      <c r="F14" t="str">
        <f t="shared" si="1"/>
        <v/>
      </c>
      <c r="G14" s="3">
        <v>-320</v>
      </c>
      <c r="H14" t="s">
        <v>8</v>
      </c>
      <c r="I14" t="s">
        <v>21</v>
      </c>
    </row>
    <row r="15" spans="1:9" x14ac:dyDescent="0.25">
      <c r="A15" s="4">
        <v>13</v>
      </c>
      <c r="B15" t="s">
        <v>6</v>
      </c>
      <c r="C15" s="1">
        <v>45671</v>
      </c>
      <c r="D15" t="s">
        <v>65</v>
      </c>
      <c r="E15" t="str">
        <f t="shared" si="0"/>
        <v>Event Sponsorship</v>
      </c>
      <c r="F15" t="str">
        <f t="shared" si="1"/>
        <v>AA Construction</v>
      </c>
      <c r="G15" s="3">
        <v>1500</v>
      </c>
      <c r="H15" t="s">
        <v>15</v>
      </c>
      <c r="I15" t="s">
        <v>25</v>
      </c>
    </row>
    <row r="16" spans="1:9" x14ac:dyDescent="0.25">
      <c r="A16" s="4">
        <v>14</v>
      </c>
      <c r="B16" t="s">
        <v>6</v>
      </c>
      <c r="C16" s="1">
        <v>45672</v>
      </c>
      <c r="D16" t="s">
        <v>26</v>
      </c>
      <c r="E16" t="str">
        <f t="shared" si="0"/>
        <v>Legal Fees</v>
      </c>
      <c r="F16" t="str">
        <f t="shared" si="1"/>
        <v/>
      </c>
      <c r="G16" s="3">
        <v>-200</v>
      </c>
      <c r="H16" t="s">
        <v>8</v>
      </c>
      <c r="I16" t="s">
        <v>27</v>
      </c>
    </row>
    <row r="17" spans="1:9" x14ac:dyDescent="0.25">
      <c r="A17" s="4">
        <v>15</v>
      </c>
      <c r="B17" t="s">
        <v>6</v>
      </c>
      <c r="C17" s="1">
        <v>45673</v>
      </c>
      <c r="D17" t="s">
        <v>71</v>
      </c>
      <c r="E17" t="str">
        <f t="shared" si="0"/>
        <v>Training Services</v>
      </c>
      <c r="F17" t="str">
        <f t="shared" si="1"/>
        <v>Best BPO</v>
      </c>
      <c r="G17" s="3">
        <v>15000</v>
      </c>
      <c r="H17" t="s">
        <v>15</v>
      </c>
      <c r="I17" t="s">
        <v>28</v>
      </c>
    </row>
    <row r="18" spans="1:9" x14ac:dyDescent="0.25">
      <c r="A18" s="4">
        <v>16</v>
      </c>
      <c r="B18" t="s">
        <v>6</v>
      </c>
      <c r="C18" s="1">
        <v>45674</v>
      </c>
      <c r="D18" t="s">
        <v>29</v>
      </c>
      <c r="E18" t="str">
        <f t="shared" si="0"/>
        <v>Bank Charges</v>
      </c>
      <c r="F18" t="str">
        <f t="shared" si="1"/>
        <v/>
      </c>
      <c r="G18" s="3">
        <v>-500</v>
      </c>
      <c r="H18" t="s">
        <v>8</v>
      </c>
      <c r="I18" t="s">
        <v>30</v>
      </c>
    </row>
    <row r="19" spans="1:9" x14ac:dyDescent="0.25">
      <c r="A19" s="4">
        <v>17</v>
      </c>
      <c r="B19" t="s">
        <v>6</v>
      </c>
      <c r="C19" s="1">
        <v>45675</v>
      </c>
      <c r="D19" t="s">
        <v>72</v>
      </c>
      <c r="E19" t="str">
        <f t="shared" si="0"/>
        <v>Event Sponsorship</v>
      </c>
      <c r="F19" t="str">
        <f t="shared" si="1"/>
        <v>Ministry of Finance</v>
      </c>
      <c r="G19" s="3">
        <v>1500</v>
      </c>
      <c r="H19" t="s">
        <v>15</v>
      </c>
      <c r="I19" t="s">
        <v>25</v>
      </c>
    </row>
    <row r="20" spans="1:9" x14ac:dyDescent="0.25">
      <c r="A20" s="4">
        <v>18</v>
      </c>
      <c r="B20" t="s">
        <v>6</v>
      </c>
      <c r="C20" s="1">
        <v>45676</v>
      </c>
      <c r="D20" t="s">
        <v>26</v>
      </c>
      <c r="E20" t="str">
        <f t="shared" si="0"/>
        <v>Legal Fees</v>
      </c>
      <c r="F20" t="str">
        <f t="shared" si="1"/>
        <v/>
      </c>
      <c r="G20" s="3">
        <v>-200</v>
      </c>
      <c r="H20" t="s">
        <v>8</v>
      </c>
      <c r="I20" t="s">
        <v>27</v>
      </c>
    </row>
    <row r="21" spans="1:9" x14ac:dyDescent="0.25">
      <c r="A21" s="4">
        <v>19</v>
      </c>
      <c r="B21" t="s">
        <v>6</v>
      </c>
      <c r="C21" s="1">
        <v>45677</v>
      </c>
      <c r="D21" t="s">
        <v>20</v>
      </c>
      <c r="E21" t="str">
        <f t="shared" si="0"/>
        <v>Equipment Repair</v>
      </c>
      <c r="F21" t="str">
        <f t="shared" si="1"/>
        <v/>
      </c>
      <c r="G21" s="3">
        <v>-50</v>
      </c>
      <c r="H21" t="s">
        <v>8</v>
      </c>
      <c r="I21" t="s">
        <v>21</v>
      </c>
    </row>
    <row r="22" spans="1:9" x14ac:dyDescent="0.25">
      <c r="A22" s="4">
        <v>20</v>
      </c>
      <c r="B22" t="s">
        <v>31</v>
      </c>
      <c r="C22" s="1">
        <v>45689</v>
      </c>
      <c r="D22" t="s">
        <v>7</v>
      </c>
      <c r="E22" t="str">
        <f t="shared" si="0"/>
        <v>Office Rent</v>
      </c>
      <c r="F22" t="str">
        <f t="shared" si="1"/>
        <v/>
      </c>
      <c r="G22" s="3">
        <v>-2000</v>
      </c>
      <c r="H22" t="s">
        <v>8</v>
      </c>
      <c r="I22" t="s">
        <v>9</v>
      </c>
    </row>
    <row r="23" spans="1:9" x14ac:dyDescent="0.25">
      <c r="A23" s="4">
        <v>21</v>
      </c>
      <c r="B23" t="s">
        <v>31</v>
      </c>
      <c r="C23" s="1">
        <v>45690</v>
      </c>
      <c r="D23" t="s">
        <v>10</v>
      </c>
      <c r="E23" t="str">
        <f t="shared" si="0"/>
        <v>Salaries</v>
      </c>
      <c r="F23" t="str">
        <f t="shared" si="1"/>
        <v/>
      </c>
      <c r="G23" s="3">
        <v>-4530</v>
      </c>
      <c r="H23" t="s">
        <v>8</v>
      </c>
      <c r="I23" t="s">
        <v>11</v>
      </c>
    </row>
    <row r="24" spans="1:9" x14ac:dyDescent="0.25">
      <c r="A24" s="4">
        <v>22</v>
      </c>
      <c r="B24" t="s">
        <v>31</v>
      </c>
      <c r="C24" s="1">
        <v>45691</v>
      </c>
      <c r="D24" t="s">
        <v>12</v>
      </c>
      <c r="E24" t="str">
        <f t="shared" si="0"/>
        <v>Utilities</v>
      </c>
      <c r="F24" t="str">
        <f t="shared" si="1"/>
        <v/>
      </c>
      <c r="G24" s="3">
        <v>-1888</v>
      </c>
      <c r="H24" t="s">
        <v>8</v>
      </c>
      <c r="I24" t="s">
        <v>9</v>
      </c>
    </row>
    <row r="25" spans="1:9" x14ac:dyDescent="0.25">
      <c r="A25" s="4">
        <v>23</v>
      </c>
      <c r="B25" t="s">
        <v>31</v>
      </c>
      <c r="C25" s="1">
        <v>45692</v>
      </c>
      <c r="D25" t="s">
        <v>13</v>
      </c>
      <c r="E25" t="str">
        <f t="shared" si="0"/>
        <v>Insurance Premium</v>
      </c>
      <c r="F25" t="str">
        <f t="shared" si="1"/>
        <v/>
      </c>
      <c r="G25" s="3">
        <v>-600</v>
      </c>
      <c r="H25" t="s">
        <v>8</v>
      </c>
      <c r="I25" t="s">
        <v>14</v>
      </c>
    </row>
    <row r="26" spans="1:9" x14ac:dyDescent="0.25">
      <c r="A26" s="4">
        <v>24</v>
      </c>
      <c r="B26" t="s">
        <v>31</v>
      </c>
      <c r="C26" s="1">
        <v>45693</v>
      </c>
      <c r="D26" t="s">
        <v>92</v>
      </c>
      <c r="E26" t="str">
        <f t="shared" si="0"/>
        <v>Marketing Expense Expense</v>
      </c>
      <c r="F26" t="str">
        <f t="shared" si="1"/>
        <v/>
      </c>
      <c r="G26" s="3">
        <v>-200</v>
      </c>
      <c r="H26" t="s">
        <v>8</v>
      </c>
      <c r="I26" t="s">
        <v>23</v>
      </c>
    </row>
    <row r="27" spans="1:9" x14ac:dyDescent="0.25">
      <c r="A27" s="4">
        <v>25</v>
      </c>
      <c r="B27" t="s">
        <v>31</v>
      </c>
      <c r="C27" s="1">
        <v>45694</v>
      </c>
      <c r="D27" t="s">
        <v>26</v>
      </c>
      <c r="E27" t="str">
        <f t="shared" si="0"/>
        <v>Legal Fees</v>
      </c>
      <c r="F27" t="str">
        <f t="shared" si="1"/>
        <v/>
      </c>
      <c r="G27" s="3">
        <v>-200</v>
      </c>
      <c r="H27" t="s">
        <v>8</v>
      </c>
      <c r="I27" t="s">
        <v>27</v>
      </c>
    </row>
    <row r="28" spans="1:9" x14ac:dyDescent="0.25">
      <c r="A28" s="4">
        <v>26</v>
      </c>
      <c r="B28" t="s">
        <v>31</v>
      </c>
      <c r="C28" s="1">
        <v>45695</v>
      </c>
      <c r="D28" t="s">
        <v>17</v>
      </c>
      <c r="E28" t="str">
        <f t="shared" si="0"/>
        <v>Office Supplies</v>
      </c>
      <c r="F28" t="str">
        <f t="shared" si="1"/>
        <v/>
      </c>
      <c r="G28" s="3">
        <v>-240</v>
      </c>
      <c r="H28" t="s">
        <v>8</v>
      </c>
      <c r="I28" t="s">
        <v>18</v>
      </c>
    </row>
    <row r="29" spans="1:9" x14ac:dyDescent="0.25">
      <c r="A29" s="4">
        <v>27</v>
      </c>
      <c r="B29" t="s">
        <v>31</v>
      </c>
      <c r="C29" s="1">
        <v>45696</v>
      </c>
      <c r="D29" t="s">
        <v>91</v>
      </c>
      <c r="E29" t="str">
        <f t="shared" si="0"/>
        <v>Marketing Expense</v>
      </c>
      <c r="F29" t="str">
        <f t="shared" si="1"/>
        <v/>
      </c>
      <c r="G29" s="3">
        <v>-300</v>
      </c>
      <c r="H29" t="s">
        <v>8</v>
      </c>
      <c r="I29" t="s">
        <v>23</v>
      </c>
    </row>
    <row r="30" spans="1:9" x14ac:dyDescent="0.25">
      <c r="A30" s="4">
        <v>28</v>
      </c>
      <c r="B30" t="s">
        <v>31</v>
      </c>
      <c r="C30" s="1">
        <v>45697</v>
      </c>
      <c r="D30" t="s">
        <v>32</v>
      </c>
      <c r="E30" t="str">
        <f t="shared" si="0"/>
        <v>Equipment Purchase</v>
      </c>
      <c r="F30" t="str">
        <f t="shared" si="1"/>
        <v/>
      </c>
      <c r="G30" s="3">
        <v>-150</v>
      </c>
      <c r="H30" t="s">
        <v>8</v>
      </c>
      <c r="I30" t="s">
        <v>33</v>
      </c>
    </row>
    <row r="31" spans="1:9" x14ac:dyDescent="0.25">
      <c r="A31" s="4">
        <v>29</v>
      </c>
      <c r="B31" t="s">
        <v>31</v>
      </c>
      <c r="C31" s="1">
        <v>45698</v>
      </c>
      <c r="D31" t="s">
        <v>24</v>
      </c>
      <c r="E31" t="str">
        <f t="shared" si="0"/>
        <v>Staff Bonus</v>
      </c>
      <c r="F31" t="str">
        <f t="shared" si="1"/>
        <v/>
      </c>
      <c r="G31" s="3">
        <v>-500</v>
      </c>
      <c r="H31" t="s">
        <v>8</v>
      </c>
      <c r="I31" t="s">
        <v>11</v>
      </c>
    </row>
    <row r="32" spans="1:9" x14ac:dyDescent="0.25">
      <c r="A32" s="4">
        <v>30</v>
      </c>
      <c r="B32" t="s">
        <v>31</v>
      </c>
      <c r="C32" s="1">
        <v>45699</v>
      </c>
      <c r="D32" t="s">
        <v>91</v>
      </c>
      <c r="E32" t="str">
        <f t="shared" si="0"/>
        <v>Marketing Expense</v>
      </c>
      <c r="F32" t="str">
        <f t="shared" si="1"/>
        <v/>
      </c>
      <c r="G32" s="3">
        <v>-400</v>
      </c>
      <c r="H32" t="s">
        <v>8</v>
      </c>
      <c r="I32" t="s">
        <v>23</v>
      </c>
    </row>
    <row r="33" spans="1:9" x14ac:dyDescent="0.25">
      <c r="A33" s="4">
        <v>31</v>
      </c>
      <c r="B33" t="s">
        <v>31</v>
      </c>
      <c r="C33" s="1">
        <v>45700</v>
      </c>
      <c r="D33" t="s">
        <v>34</v>
      </c>
      <c r="E33" t="str">
        <f t="shared" si="0"/>
        <v>Software Subscription</v>
      </c>
      <c r="F33" t="str">
        <f t="shared" si="1"/>
        <v/>
      </c>
      <c r="G33" s="3">
        <v>-800</v>
      </c>
      <c r="H33" t="s">
        <v>8</v>
      </c>
      <c r="I33" t="s">
        <v>35</v>
      </c>
    </row>
    <row r="34" spans="1:9" x14ac:dyDescent="0.25">
      <c r="A34" s="4">
        <v>32</v>
      </c>
      <c r="B34" t="s">
        <v>31</v>
      </c>
      <c r="C34" s="1">
        <v>45701</v>
      </c>
      <c r="D34" t="s">
        <v>73</v>
      </c>
      <c r="E34" t="str">
        <f t="shared" si="0"/>
        <v>Training Services</v>
      </c>
      <c r="F34" t="str">
        <f t="shared" si="1"/>
        <v>Ministry of Finance</v>
      </c>
      <c r="G34" s="3">
        <v>8000</v>
      </c>
      <c r="H34" t="s">
        <v>15</v>
      </c>
      <c r="I34" t="s">
        <v>28</v>
      </c>
    </row>
    <row r="35" spans="1:9" x14ac:dyDescent="0.25">
      <c r="A35" s="4">
        <v>33</v>
      </c>
      <c r="B35" t="s">
        <v>31</v>
      </c>
      <c r="C35" s="1">
        <v>45702</v>
      </c>
      <c r="D35" t="s">
        <v>74</v>
      </c>
      <c r="E35" t="str">
        <f t="shared" si="0"/>
        <v>Software Licensing</v>
      </c>
      <c r="F35" t="str">
        <f t="shared" si="1"/>
        <v>Alpha Co.</v>
      </c>
      <c r="G35" s="3">
        <v>2000</v>
      </c>
      <c r="H35" t="s">
        <v>15</v>
      </c>
      <c r="I35" t="s">
        <v>16</v>
      </c>
    </row>
    <row r="36" spans="1:9" x14ac:dyDescent="0.25">
      <c r="A36" s="4">
        <v>34</v>
      </c>
      <c r="B36" t="s">
        <v>31</v>
      </c>
      <c r="C36" s="1">
        <v>45703</v>
      </c>
      <c r="D36" t="s">
        <v>86</v>
      </c>
      <c r="E36" t="str">
        <f t="shared" si="0"/>
        <v>Training Services</v>
      </c>
      <c r="F36" t="str">
        <f t="shared" si="1"/>
        <v>Gamma Enterprise</v>
      </c>
      <c r="G36" s="3">
        <v>9000</v>
      </c>
      <c r="H36" t="s">
        <v>15</v>
      </c>
      <c r="I36" t="s">
        <v>28</v>
      </c>
    </row>
    <row r="37" spans="1:9" x14ac:dyDescent="0.25">
      <c r="A37" s="4">
        <v>35</v>
      </c>
      <c r="B37" t="s">
        <v>31</v>
      </c>
      <c r="C37" s="1">
        <v>45704</v>
      </c>
      <c r="D37" t="s">
        <v>26</v>
      </c>
      <c r="E37" t="str">
        <f t="shared" si="0"/>
        <v>Legal Fees</v>
      </c>
      <c r="F37" t="str">
        <f t="shared" si="1"/>
        <v/>
      </c>
      <c r="G37" s="3">
        <v>-1000</v>
      </c>
      <c r="H37" t="s">
        <v>8</v>
      </c>
      <c r="I37" t="s">
        <v>27</v>
      </c>
    </row>
    <row r="38" spans="1:9" x14ac:dyDescent="0.25">
      <c r="A38" s="4">
        <v>36</v>
      </c>
      <c r="B38" t="s">
        <v>31</v>
      </c>
      <c r="C38" s="1">
        <v>45705</v>
      </c>
      <c r="D38" t="s">
        <v>32</v>
      </c>
      <c r="E38" t="str">
        <f t="shared" si="0"/>
        <v>Equipment Purchase</v>
      </c>
      <c r="F38" t="str">
        <f t="shared" si="1"/>
        <v/>
      </c>
      <c r="G38" s="3">
        <v>-250</v>
      </c>
      <c r="H38" t="s">
        <v>8</v>
      </c>
      <c r="I38" t="s">
        <v>33</v>
      </c>
    </row>
    <row r="39" spans="1:9" x14ac:dyDescent="0.25">
      <c r="A39" s="4">
        <v>37</v>
      </c>
      <c r="B39" t="s">
        <v>31</v>
      </c>
      <c r="C39" s="1">
        <v>45706</v>
      </c>
      <c r="D39" t="s">
        <v>55</v>
      </c>
      <c r="E39" t="str">
        <f t="shared" si="0"/>
        <v>Client Payment</v>
      </c>
      <c r="F39" t="str">
        <f t="shared" si="1"/>
        <v>Move Inc.</v>
      </c>
      <c r="G39" s="3">
        <v>6500</v>
      </c>
      <c r="H39" t="s">
        <v>15</v>
      </c>
      <c r="I39" t="s">
        <v>36</v>
      </c>
    </row>
    <row r="40" spans="1:9" x14ac:dyDescent="0.25">
      <c r="A40" s="4">
        <v>38</v>
      </c>
      <c r="B40" t="s">
        <v>31</v>
      </c>
      <c r="C40" s="1">
        <v>45707</v>
      </c>
      <c r="D40" t="s">
        <v>75</v>
      </c>
      <c r="E40" t="str">
        <f t="shared" si="0"/>
        <v>Advisory Fees</v>
      </c>
      <c r="F40" t="str">
        <f t="shared" si="1"/>
        <v>Beta Ltd.</v>
      </c>
      <c r="G40" s="3">
        <v>5600</v>
      </c>
      <c r="H40" t="s">
        <v>15</v>
      </c>
      <c r="I40" t="s">
        <v>37</v>
      </c>
    </row>
    <row r="41" spans="1:9" x14ac:dyDescent="0.25">
      <c r="A41" s="4">
        <v>39</v>
      </c>
      <c r="B41" t="s">
        <v>31</v>
      </c>
      <c r="C41" s="1">
        <v>45708</v>
      </c>
      <c r="D41" t="s">
        <v>17</v>
      </c>
      <c r="E41" t="str">
        <f t="shared" si="0"/>
        <v>Office Supplies</v>
      </c>
      <c r="F41" t="str">
        <f t="shared" si="1"/>
        <v/>
      </c>
      <c r="G41" s="3">
        <v>-108</v>
      </c>
      <c r="H41" t="s">
        <v>8</v>
      </c>
      <c r="I41" t="s">
        <v>18</v>
      </c>
    </row>
    <row r="42" spans="1:9" x14ac:dyDescent="0.25">
      <c r="A42" s="4">
        <v>40</v>
      </c>
      <c r="B42" t="s">
        <v>38</v>
      </c>
      <c r="C42" s="1">
        <v>45717</v>
      </c>
      <c r="D42" t="s">
        <v>7</v>
      </c>
      <c r="E42" t="str">
        <f t="shared" si="0"/>
        <v>Office Rent</v>
      </c>
      <c r="F42" t="str">
        <f t="shared" si="1"/>
        <v/>
      </c>
      <c r="G42" s="3">
        <v>-2000</v>
      </c>
      <c r="H42" t="s">
        <v>8</v>
      </c>
      <c r="I42" t="s">
        <v>9</v>
      </c>
    </row>
    <row r="43" spans="1:9" x14ac:dyDescent="0.25">
      <c r="A43" s="4">
        <v>41</v>
      </c>
      <c r="B43" t="s">
        <v>38</v>
      </c>
      <c r="C43" s="1">
        <v>45718</v>
      </c>
      <c r="D43" t="s">
        <v>10</v>
      </c>
      <c r="E43" t="str">
        <f t="shared" si="0"/>
        <v>Salaries</v>
      </c>
      <c r="F43" t="str">
        <f t="shared" si="1"/>
        <v/>
      </c>
      <c r="G43" s="3">
        <v>-4530</v>
      </c>
      <c r="H43" t="s">
        <v>8</v>
      </c>
      <c r="I43" t="s">
        <v>11</v>
      </c>
    </row>
    <row r="44" spans="1:9" x14ac:dyDescent="0.25">
      <c r="A44" s="4">
        <v>42</v>
      </c>
      <c r="B44" t="s">
        <v>38</v>
      </c>
      <c r="C44" s="1">
        <v>45719</v>
      </c>
      <c r="D44" t="s">
        <v>12</v>
      </c>
      <c r="E44" t="str">
        <f t="shared" si="0"/>
        <v>Utilities</v>
      </c>
      <c r="F44" t="str">
        <f t="shared" si="1"/>
        <v/>
      </c>
      <c r="G44" s="3">
        <v>-1888</v>
      </c>
      <c r="H44" t="s">
        <v>8</v>
      </c>
      <c r="I44" t="s">
        <v>9</v>
      </c>
    </row>
    <row r="45" spans="1:9" x14ac:dyDescent="0.25">
      <c r="A45" s="4">
        <v>43</v>
      </c>
      <c r="B45" t="s">
        <v>38</v>
      </c>
      <c r="C45" s="1">
        <v>45720</v>
      </c>
      <c r="D45" t="s">
        <v>13</v>
      </c>
      <c r="E45" t="str">
        <f t="shared" si="0"/>
        <v>Insurance Premium</v>
      </c>
      <c r="F45" t="str">
        <f t="shared" si="1"/>
        <v/>
      </c>
      <c r="G45" s="3">
        <v>-600</v>
      </c>
      <c r="H45" t="s">
        <v>8</v>
      </c>
      <c r="I45" t="s">
        <v>14</v>
      </c>
    </row>
    <row r="46" spans="1:9" x14ac:dyDescent="0.25">
      <c r="A46" s="4">
        <v>44</v>
      </c>
      <c r="B46" t="s">
        <v>38</v>
      </c>
      <c r="C46" s="1">
        <v>45721</v>
      </c>
      <c r="D46" t="s">
        <v>32</v>
      </c>
      <c r="E46" t="str">
        <f t="shared" si="0"/>
        <v>Equipment Purchase</v>
      </c>
      <c r="F46" t="str">
        <f t="shared" si="1"/>
        <v/>
      </c>
      <c r="G46" s="3">
        <v>-300</v>
      </c>
      <c r="H46" t="s">
        <v>8</v>
      </c>
      <c r="I46" t="s">
        <v>33</v>
      </c>
    </row>
    <row r="47" spans="1:9" x14ac:dyDescent="0.25">
      <c r="A47" s="4">
        <v>45</v>
      </c>
      <c r="B47" t="s">
        <v>38</v>
      </c>
      <c r="C47" s="1">
        <v>45722</v>
      </c>
      <c r="D47" t="s">
        <v>85</v>
      </c>
      <c r="E47" t="str">
        <f t="shared" si="0"/>
        <v>Training Services</v>
      </c>
      <c r="F47" t="str">
        <f t="shared" si="1"/>
        <v>Move Inc.</v>
      </c>
      <c r="G47" s="3">
        <v>20000</v>
      </c>
      <c r="H47" t="s">
        <v>15</v>
      </c>
      <c r="I47" t="s">
        <v>28</v>
      </c>
    </row>
    <row r="48" spans="1:9" x14ac:dyDescent="0.25">
      <c r="A48" s="4">
        <v>46</v>
      </c>
      <c r="B48" t="s">
        <v>38</v>
      </c>
      <c r="C48" s="1">
        <v>45723</v>
      </c>
      <c r="D48" t="s">
        <v>34</v>
      </c>
      <c r="E48" t="str">
        <f t="shared" si="0"/>
        <v>Software Subscription</v>
      </c>
      <c r="F48" t="str">
        <f t="shared" si="1"/>
        <v/>
      </c>
      <c r="G48" s="3">
        <v>-800</v>
      </c>
      <c r="H48" t="s">
        <v>8</v>
      </c>
      <c r="I48" t="s">
        <v>35</v>
      </c>
    </row>
    <row r="49" spans="1:9" x14ac:dyDescent="0.25">
      <c r="A49" s="4">
        <v>47</v>
      </c>
      <c r="B49" t="s">
        <v>38</v>
      </c>
      <c r="C49" s="1">
        <v>45724</v>
      </c>
      <c r="D49" t="s">
        <v>26</v>
      </c>
      <c r="E49" t="str">
        <f t="shared" si="0"/>
        <v>Legal Fees</v>
      </c>
      <c r="F49" t="str">
        <f t="shared" si="1"/>
        <v/>
      </c>
      <c r="G49" s="3">
        <v>-500</v>
      </c>
      <c r="H49" t="s">
        <v>8</v>
      </c>
      <c r="I49" t="s">
        <v>27</v>
      </c>
    </row>
    <row r="50" spans="1:9" x14ac:dyDescent="0.25">
      <c r="A50" s="4">
        <v>48</v>
      </c>
      <c r="B50" t="s">
        <v>38</v>
      </c>
      <c r="C50" s="1">
        <v>45725</v>
      </c>
      <c r="D50" t="s">
        <v>17</v>
      </c>
      <c r="E50" t="str">
        <f t="shared" si="0"/>
        <v>Office Supplies</v>
      </c>
      <c r="F50" t="str">
        <f t="shared" si="1"/>
        <v/>
      </c>
      <c r="G50" s="3">
        <v>-280</v>
      </c>
      <c r="H50" t="s">
        <v>8</v>
      </c>
      <c r="I50" t="s">
        <v>18</v>
      </c>
    </row>
    <row r="51" spans="1:9" x14ac:dyDescent="0.25">
      <c r="A51" s="4">
        <v>49</v>
      </c>
      <c r="B51" t="s">
        <v>38</v>
      </c>
      <c r="C51" s="1">
        <v>45726</v>
      </c>
      <c r="D51" t="s">
        <v>67</v>
      </c>
      <c r="E51" t="str">
        <f t="shared" si="0"/>
        <v>Software Licensing</v>
      </c>
      <c r="F51" t="str">
        <f t="shared" si="1"/>
        <v>Beta Ltd.</v>
      </c>
      <c r="G51" s="3">
        <v>4000</v>
      </c>
      <c r="H51" t="s">
        <v>15</v>
      </c>
      <c r="I51" t="s">
        <v>16</v>
      </c>
    </row>
    <row r="52" spans="1:9" x14ac:dyDescent="0.25">
      <c r="A52" s="4">
        <v>50</v>
      </c>
      <c r="B52" t="s">
        <v>38</v>
      </c>
      <c r="C52" s="1">
        <v>45727</v>
      </c>
      <c r="D52" t="s">
        <v>91</v>
      </c>
      <c r="E52" t="str">
        <f t="shared" si="0"/>
        <v>Marketing Expense</v>
      </c>
      <c r="F52" t="str">
        <f t="shared" si="1"/>
        <v/>
      </c>
      <c r="G52" s="3">
        <v>-1200</v>
      </c>
      <c r="H52" t="s">
        <v>8</v>
      </c>
      <c r="I52" t="s">
        <v>23</v>
      </c>
    </row>
    <row r="53" spans="1:9" x14ac:dyDescent="0.25">
      <c r="A53" s="4">
        <v>51</v>
      </c>
      <c r="B53" t="s">
        <v>38</v>
      </c>
      <c r="C53" s="1">
        <v>45728</v>
      </c>
      <c r="D53" t="s">
        <v>24</v>
      </c>
      <c r="E53" t="str">
        <f t="shared" si="0"/>
        <v>Staff Bonus</v>
      </c>
      <c r="F53" t="str">
        <f t="shared" si="1"/>
        <v/>
      </c>
      <c r="G53" s="3">
        <v>-500</v>
      </c>
      <c r="H53" t="s">
        <v>8</v>
      </c>
      <c r="I53" t="s">
        <v>11</v>
      </c>
    </row>
    <row r="54" spans="1:9" x14ac:dyDescent="0.25">
      <c r="A54" s="4">
        <v>52</v>
      </c>
      <c r="B54" t="s">
        <v>38</v>
      </c>
      <c r="C54" s="1">
        <v>45729</v>
      </c>
      <c r="D54" t="s">
        <v>17</v>
      </c>
      <c r="E54" t="str">
        <f t="shared" si="0"/>
        <v>Office Supplies</v>
      </c>
      <c r="F54" t="str">
        <f t="shared" si="1"/>
        <v/>
      </c>
      <c r="G54" s="3">
        <v>-80</v>
      </c>
      <c r="H54" t="s">
        <v>8</v>
      </c>
      <c r="I54" t="s">
        <v>18</v>
      </c>
    </row>
    <row r="55" spans="1:9" x14ac:dyDescent="0.25">
      <c r="A55" s="4">
        <v>53</v>
      </c>
      <c r="B55" t="s">
        <v>38</v>
      </c>
      <c r="C55" s="1">
        <v>45730</v>
      </c>
      <c r="D55" t="s">
        <v>39</v>
      </c>
      <c r="E55" t="str">
        <f t="shared" si="0"/>
        <v>Miscellaneous Expenses</v>
      </c>
      <c r="F55" t="str">
        <f t="shared" si="1"/>
        <v/>
      </c>
      <c r="G55" s="3">
        <v>-230</v>
      </c>
      <c r="H55" t="s">
        <v>8</v>
      </c>
      <c r="I55" t="s">
        <v>40</v>
      </c>
    </row>
    <row r="56" spans="1:9" x14ac:dyDescent="0.25">
      <c r="A56" s="4">
        <v>54</v>
      </c>
      <c r="B56" t="s">
        <v>38</v>
      </c>
      <c r="C56" s="1">
        <v>45731</v>
      </c>
      <c r="D56" t="s">
        <v>34</v>
      </c>
      <c r="E56" t="str">
        <f t="shared" si="0"/>
        <v>Software Subscription</v>
      </c>
      <c r="F56" t="str">
        <f t="shared" si="1"/>
        <v/>
      </c>
      <c r="G56" s="3">
        <v>-800</v>
      </c>
      <c r="H56" t="s">
        <v>8</v>
      </c>
      <c r="I56" t="s">
        <v>35</v>
      </c>
    </row>
    <row r="57" spans="1:9" x14ac:dyDescent="0.25">
      <c r="A57" s="4">
        <v>55</v>
      </c>
      <c r="B57" t="s">
        <v>38</v>
      </c>
      <c r="C57" s="1">
        <v>45732</v>
      </c>
      <c r="D57" t="s">
        <v>29</v>
      </c>
      <c r="E57" t="str">
        <f t="shared" si="0"/>
        <v>Bank Charges</v>
      </c>
      <c r="F57" t="str">
        <f t="shared" si="1"/>
        <v/>
      </c>
      <c r="G57" s="3">
        <v>-500</v>
      </c>
      <c r="H57" t="s">
        <v>8</v>
      </c>
      <c r="I57" t="s">
        <v>30</v>
      </c>
    </row>
    <row r="58" spans="1:9" x14ac:dyDescent="0.25">
      <c r="A58" s="4">
        <v>56</v>
      </c>
      <c r="B58" t="s">
        <v>38</v>
      </c>
      <c r="C58" s="1">
        <v>45733</v>
      </c>
      <c r="D58" t="s">
        <v>17</v>
      </c>
      <c r="E58" t="str">
        <f t="shared" si="0"/>
        <v>Office Supplies</v>
      </c>
      <c r="F58" t="str">
        <f t="shared" si="1"/>
        <v/>
      </c>
      <c r="G58" s="3">
        <v>-50</v>
      </c>
      <c r="H58" t="s">
        <v>8</v>
      </c>
      <c r="I58" t="s">
        <v>18</v>
      </c>
    </row>
    <row r="59" spans="1:9" x14ac:dyDescent="0.25">
      <c r="A59" s="4">
        <v>57</v>
      </c>
      <c r="B59" t="s">
        <v>38</v>
      </c>
      <c r="C59" s="1">
        <v>45734</v>
      </c>
      <c r="D59" t="s">
        <v>32</v>
      </c>
      <c r="E59" t="str">
        <f t="shared" si="0"/>
        <v>Equipment Purchase</v>
      </c>
      <c r="F59" t="str">
        <f t="shared" si="1"/>
        <v/>
      </c>
      <c r="G59" s="3">
        <v>-1000</v>
      </c>
      <c r="H59" t="s">
        <v>8</v>
      </c>
      <c r="I59" t="s">
        <v>33</v>
      </c>
    </row>
    <row r="60" spans="1:9" x14ac:dyDescent="0.25">
      <c r="A60" s="4">
        <v>58</v>
      </c>
      <c r="B60" t="s">
        <v>38</v>
      </c>
      <c r="C60" s="1">
        <v>45735</v>
      </c>
      <c r="D60" t="s">
        <v>17</v>
      </c>
      <c r="E60" t="str">
        <f t="shared" si="0"/>
        <v>Office Supplies</v>
      </c>
      <c r="F60" t="str">
        <f t="shared" si="1"/>
        <v/>
      </c>
      <c r="G60" s="3">
        <v>-120</v>
      </c>
      <c r="H60" t="s">
        <v>8</v>
      </c>
      <c r="I60" t="s">
        <v>18</v>
      </c>
    </row>
    <row r="61" spans="1:9" x14ac:dyDescent="0.25">
      <c r="A61" s="4">
        <v>59</v>
      </c>
      <c r="B61" t="s">
        <v>38</v>
      </c>
      <c r="C61" s="1">
        <v>45736</v>
      </c>
      <c r="D61" t="s">
        <v>32</v>
      </c>
      <c r="E61" t="str">
        <f t="shared" si="0"/>
        <v>Equipment Purchase</v>
      </c>
      <c r="F61" t="str">
        <f t="shared" si="1"/>
        <v/>
      </c>
      <c r="G61" s="3">
        <v>-1500</v>
      </c>
      <c r="H61" t="s">
        <v>8</v>
      </c>
      <c r="I61" t="s">
        <v>33</v>
      </c>
    </row>
    <row r="62" spans="1:9" x14ac:dyDescent="0.25">
      <c r="A62" s="4">
        <v>60</v>
      </c>
      <c r="B62" t="s">
        <v>41</v>
      </c>
      <c r="C62" s="1">
        <v>45748</v>
      </c>
      <c r="D62" t="s">
        <v>7</v>
      </c>
      <c r="E62" t="str">
        <f t="shared" si="0"/>
        <v>Office Rent</v>
      </c>
      <c r="F62" t="str">
        <f t="shared" si="1"/>
        <v/>
      </c>
      <c r="G62" s="3">
        <v>-2000</v>
      </c>
      <c r="H62" t="s">
        <v>8</v>
      </c>
      <c r="I62" t="s">
        <v>9</v>
      </c>
    </row>
    <row r="63" spans="1:9" x14ac:dyDescent="0.25">
      <c r="A63" s="4">
        <v>61</v>
      </c>
      <c r="B63" t="s">
        <v>41</v>
      </c>
      <c r="C63" s="1">
        <v>45749</v>
      </c>
      <c r="D63" t="s">
        <v>10</v>
      </c>
      <c r="E63" t="str">
        <f t="shared" si="0"/>
        <v>Salaries</v>
      </c>
      <c r="F63" t="str">
        <f t="shared" si="1"/>
        <v/>
      </c>
      <c r="G63" s="3">
        <v>-4583</v>
      </c>
      <c r="H63" t="s">
        <v>8</v>
      </c>
      <c r="I63" t="s">
        <v>11</v>
      </c>
    </row>
    <row r="64" spans="1:9" x14ac:dyDescent="0.25">
      <c r="A64" s="4">
        <v>62</v>
      </c>
      <c r="B64" t="s">
        <v>41</v>
      </c>
      <c r="C64" s="1">
        <v>45750</v>
      </c>
      <c r="D64" t="s">
        <v>12</v>
      </c>
      <c r="E64" t="str">
        <f t="shared" si="0"/>
        <v>Utilities</v>
      </c>
      <c r="F64" t="str">
        <f t="shared" si="1"/>
        <v/>
      </c>
      <c r="G64" s="3">
        <v>-2588</v>
      </c>
      <c r="H64" t="s">
        <v>8</v>
      </c>
      <c r="I64" t="s">
        <v>9</v>
      </c>
    </row>
    <row r="65" spans="1:9" x14ac:dyDescent="0.25">
      <c r="A65" s="4">
        <v>63</v>
      </c>
      <c r="B65" t="s">
        <v>41</v>
      </c>
      <c r="C65" s="1">
        <v>45751</v>
      </c>
      <c r="D65" t="s">
        <v>13</v>
      </c>
      <c r="E65" t="str">
        <f t="shared" si="0"/>
        <v>Insurance Premium</v>
      </c>
      <c r="F65" t="str">
        <f t="shared" si="1"/>
        <v/>
      </c>
      <c r="G65" s="3">
        <v>-600</v>
      </c>
      <c r="H65" t="s">
        <v>8</v>
      </c>
      <c r="I65" t="s">
        <v>14</v>
      </c>
    </row>
    <row r="66" spans="1:9" x14ac:dyDescent="0.25">
      <c r="A66" s="4">
        <v>64</v>
      </c>
      <c r="B66" t="s">
        <v>41</v>
      </c>
      <c r="C66" s="1">
        <v>45752</v>
      </c>
      <c r="D66" t="s">
        <v>42</v>
      </c>
      <c r="E66" t="str">
        <f t="shared" si="0"/>
        <v>Travel Expenses</v>
      </c>
      <c r="F66" t="str">
        <f t="shared" si="1"/>
        <v/>
      </c>
      <c r="G66" s="3">
        <v>-1100</v>
      </c>
      <c r="H66" t="s">
        <v>8</v>
      </c>
      <c r="I66" t="s">
        <v>43</v>
      </c>
    </row>
    <row r="67" spans="1:9" x14ac:dyDescent="0.25">
      <c r="A67" s="4">
        <v>65</v>
      </c>
      <c r="B67" t="s">
        <v>41</v>
      </c>
      <c r="C67" s="1">
        <v>45753</v>
      </c>
      <c r="D67" t="s">
        <v>39</v>
      </c>
      <c r="E67" t="str">
        <f t="shared" ref="E67:E121" si="2">IF(ISNUMBER(FIND("-", $D67)),_xlfn.TEXTBEFORE($D67,"-"), $D67)</f>
        <v>Miscellaneous Expenses</v>
      </c>
      <c r="F67" t="str">
        <f t="shared" ref="F67:F121" si="3">IF(ISNUMBER(FIND("-", $D67)),TRIM(_xlfn.TEXTAFTER($D67,"-")),"")</f>
        <v/>
      </c>
      <c r="G67" s="3">
        <v>-860</v>
      </c>
      <c r="H67" t="s">
        <v>8</v>
      </c>
      <c r="I67" t="s">
        <v>40</v>
      </c>
    </row>
    <row r="68" spans="1:9" x14ac:dyDescent="0.25">
      <c r="A68" s="4">
        <v>66</v>
      </c>
      <c r="B68" t="s">
        <v>41</v>
      </c>
      <c r="C68" s="1">
        <v>45754</v>
      </c>
      <c r="D68" t="s">
        <v>17</v>
      </c>
      <c r="E68" t="str">
        <f t="shared" si="2"/>
        <v>Office Supplies</v>
      </c>
      <c r="F68" t="str">
        <f t="shared" si="3"/>
        <v/>
      </c>
      <c r="G68" s="3">
        <v>-150</v>
      </c>
      <c r="H68" t="s">
        <v>8</v>
      </c>
      <c r="I68" t="s">
        <v>18</v>
      </c>
    </row>
    <row r="69" spans="1:9" x14ac:dyDescent="0.25">
      <c r="A69" s="4">
        <v>67</v>
      </c>
      <c r="B69" t="s">
        <v>41</v>
      </c>
      <c r="C69" s="1">
        <v>45755</v>
      </c>
      <c r="D69" t="s">
        <v>64</v>
      </c>
      <c r="E69" t="str">
        <f t="shared" si="2"/>
        <v>Advisory Fees</v>
      </c>
      <c r="F69" t="str">
        <f t="shared" si="3"/>
        <v>ABC Bank</v>
      </c>
      <c r="G69" s="3">
        <v>5500</v>
      </c>
      <c r="H69" t="s">
        <v>15</v>
      </c>
      <c r="I69" t="s">
        <v>37</v>
      </c>
    </row>
    <row r="70" spans="1:9" x14ac:dyDescent="0.25">
      <c r="A70" s="4">
        <v>68</v>
      </c>
      <c r="B70" t="s">
        <v>41</v>
      </c>
      <c r="C70" s="1">
        <v>45756</v>
      </c>
      <c r="D70" t="s">
        <v>17</v>
      </c>
      <c r="E70" t="str">
        <f t="shared" si="2"/>
        <v>Office Supplies</v>
      </c>
      <c r="F70" t="str">
        <f t="shared" si="3"/>
        <v/>
      </c>
      <c r="G70" s="3">
        <v>-120</v>
      </c>
      <c r="H70" t="s">
        <v>8</v>
      </c>
      <c r="I70" t="s">
        <v>18</v>
      </c>
    </row>
    <row r="71" spans="1:9" x14ac:dyDescent="0.25">
      <c r="A71" s="4">
        <v>69</v>
      </c>
      <c r="B71" t="s">
        <v>41</v>
      </c>
      <c r="C71" s="1">
        <v>45757</v>
      </c>
      <c r="D71" t="s">
        <v>65</v>
      </c>
      <c r="E71" t="str">
        <f t="shared" si="2"/>
        <v>Event Sponsorship</v>
      </c>
      <c r="F71" t="str">
        <f t="shared" si="3"/>
        <v>AA Construction</v>
      </c>
      <c r="G71" s="3">
        <v>3000</v>
      </c>
      <c r="H71" t="s">
        <v>15</v>
      </c>
      <c r="I71" t="s">
        <v>25</v>
      </c>
    </row>
    <row r="72" spans="1:9" x14ac:dyDescent="0.25">
      <c r="A72" s="4">
        <v>70</v>
      </c>
      <c r="B72" t="s">
        <v>41</v>
      </c>
      <c r="C72" s="1">
        <v>45758</v>
      </c>
      <c r="D72" t="s">
        <v>34</v>
      </c>
      <c r="E72" t="str">
        <f t="shared" si="2"/>
        <v>Software Subscription</v>
      </c>
      <c r="F72" t="str">
        <f t="shared" si="3"/>
        <v/>
      </c>
      <c r="G72" s="3">
        <v>-1100</v>
      </c>
      <c r="H72" t="s">
        <v>8</v>
      </c>
      <c r="I72" t="s">
        <v>35</v>
      </c>
    </row>
    <row r="73" spans="1:9" x14ac:dyDescent="0.25">
      <c r="A73" s="4">
        <v>71</v>
      </c>
      <c r="B73" t="s">
        <v>41</v>
      </c>
      <c r="C73" s="1">
        <v>45759</v>
      </c>
      <c r="D73" t="s">
        <v>56</v>
      </c>
      <c r="E73" t="str">
        <f t="shared" si="2"/>
        <v>Client Payment</v>
      </c>
      <c r="F73" t="str">
        <f t="shared" si="3"/>
        <v>Tech Co.</v>
      </c>
      <c r="G73" s="3">
        <v>8200</v>
      </c>
      <c r="H73" t="s">
        <v>15</v>
      </c>
      <c r="I73" t="s">
        <v>36</v>
      </c>
    </row>
    <row r="74" spans="1:9" x14ac:dyDescent="0.25">
      <c r="A74" s="4">
        <v>72</v>
      </c>
      <c r="B74" t="s">
        <v>41</v>
      </c>
      <c r="C74" s="1">
        <v>45760</v>
      </c>
      <c r="D74" t="s">
        <v>42</v>
      </c>
      <c r="E74" t="str">
        <f t="shared" si="2"/>
        <v>Travel Expenses</v>
      </c>
      <c r="F74" t="str">
        <f t="shared" si="3"/>
        <v/>
      </c>
      <c r="G74" s="3">
        <v>-1200</v>
      </c>
      <c r="H74" t="s">
        <v>8</v>
      </c>
      <c r="I74" t="s">
        <v>43</v>
      </c>
    </row>
    <row r="75" spans="1:9" x14ac:dyDescent="0.25">
      <c r="A75" s="4">
        <v>73</v>
      </c>
      <c r="B75" t="s">
        <v>41</v>
      </c>
      <c r="C75" s="1">
        <v>45761</v>
      </c>
      <c r="D75" t="s">
        <v>24</v>
      </c>
      <c r="E75" t="str">
        <f t="shared" si="2"/>
        <v>Staff Bonus</v>
      </c>
      <c r="F75" t="str">
        <f t="shared" si="3"/>
        <v/>
      </c>
      <c r="G75" s="3">
        <v>-500</v>
      </c>
      <c r="H75" t="s">
        <v>8</v>
      </c>
      <c r="I75" t="s">
        <v>11</v>
      </c>
    </row>
    <row r="76" spans="1:9" x14ac:dyDescent="0.25">
      <c r="A76" s="4">
        <v>74</v>
      </c>
      <c r="B76" t="s">
        <v>41</v>
      </c>
      <c r="C76" s="1">
        <v>45762</v>
      </c>
      <c r="D76" t="s">
        <v>91</v>
      </c>
      <c r="E76" t="str">
        <f t="shared" si="2"/>
        <v>Marketing Expense</v>
      </c>
      <c r="F76" t="str">
        <f t="shared" si="3"/>
        <v/>
      </c>
      <c r="G76" s="3">
        <v>-780</v>
      </c>
      <c r="H76" t="s">
        <v>8</v>
      </c>
      <c r="I76" t="s">
        <v>23</v>
      </c>
    </row>
    <row r="77" spans="1:9" x14ac:dyDescent="0.25">
      <c r="A77" s="4">
        <v>75</v>
      </c>
      <c r="B77" t="s">
        <v>41</v>
      </c>
      <c r="C77" s="1">
        <v>45763</v>
      </c>
      <c r="D77" t="s">
        <v>20</v>
      </c>
      <c r="E77" t="str">
        <f t="shared" si="2"/>
        <v>Equipment Repair</v>
      </c>
      <c r="F77" t="str">
        <f t="shared" si="3"/>
        <v/>
      </c>
      <c r="G77" s="3">
        <v>-120</v>
      </c>
      <c r="H77" t="s">
        <v>8</v>
      </c>
      <c r="I77" t="s">
        <v>21</v>
      </c>
    </row>
    <row r="78" spans="1:9" x14ac:dyDescent="0.25">
      <c r="A78" s="4">
        <v>76</v>
      </c>
      <c r="B78" t="s">
        <v>41</v>
      </c>
      <c r="C78" s="1">
        <v>45764</v>
      </c>
      <c r="D78" t="s">
        <v>87</v>
      </c>
      <c r="E78" t="str">
        <f t="shared" si="2"/>
        <v>Event Sponsorship</v>
      </c>
      <c r="F78" t="str">
        <f t="shared" si="3"/>
        <v>Tech Co.</v>
      </c>
      <c r="G78" s="3">
        <v>4000</v>
      </c>
      <c r="H78" t="s">
        <v>15</v>
      </c>
      <c r="I78" t="s">
        <v>25</v>
      </c>
    </row>
    <row r="79" spans="1:9" x14ac:dyDescent="0.25">
      <c r="A79" s="4">
        <v>77</v>
      </c>
      <c r="B79" t="s">
        <v>41</v>
      </c>
      <c r="C79" s="1">
        <v>45765</v>
      </c>
      <c r="D79" t="s">
        <v>57</v>
      </c>
      <c r="E79" t="str">
        <f t="shared" si="2"/>
        <v>Consulting Fee</v>
      </c>
      <c r="F79" t="str">
        <f t="shared" si="3"/>
        <v>Move Inc.</v>
      </c>
      <c r="G79" s="3">
        <v>9000</v>
      </c>
      <c r="H79" t="s">
        <v>15</v>
      </c>
      <c r="I79" t="s">
        <v>19</v>
      </c>
    </row>
    <row r="80" spans="1:9" x14ac:dyDescent="0.25">
      <c r="A80" s="4">
        <v>78</v>
      </c>
      <c r="B80" t="s">
        <v>41</v>
      </c>
      <c r="C80" s="1">
        <v>45766</v>
      </c>
      <c r="D80" t="s">
        <v>66</v>
      </c>
      <c r="E80" t="str">
        <f t="shared" si="2"/>
        <v>Software Licensing</v>
      </c>
      <c r="F80" t="str">
        <f t="shared" si="3"/>
        <v>Tech Co.</v>
      </c>
      <c r="G80" s="3">
        <v>4000</v>
      </c>
      <c r="H80" t="s">
        <v>15</v>
      </c>
      <c r="I80" t="s">
        <v>16</v>
      </c>
    </row>
    <row r="81" spans="1:9" x14ac:dyDescent="0.25">
      <c r="A81" s="4">
        <v>79</v>
      </c>
      <c r="B81" t="s">
        <v>41</v>
      </c>
      <c r="C81" s="1">
        <v>45767</v>
      </c>
      <c r="D81" t="s">
        <v>91</v>
      </c>
      <c r="E81" t="str">
        <f t="shared" si="2"/>
        <v>Marketing Expense</v>
      </c>
      <c r="F81" t="str">
        <f t="shared" si="3"/>
        <v/>
      </c>
      <c r="G81" s="3">
        <v>-800</v>
      </c>
      <c r="H81" t="s">
        <v>8</v>
      </c>
      <c r="I81" t="s">
        <v>23</v>
      </c>
    </row>
    <row r="82" spans="1:9" x14ac:dyDescent="0.25">
      <c r="A82" s="4">
        <v>80</v>
      </c>
      <c r="B82" t="s">
        <v>44</v>
      </c>
      <c r="C82" s="1">
        <v>45778</v>
      </c>
      <c r="D82" t="s">
        <v>7</v>
      </c>
      <c r="E82" t="str">
        <f t="shared" si="2"/>
        <v>Office Rent</v>
      </c>
      <c r="F82" t="str">
        <f t="shared" si="3"/>
        <v/>
      </c>
      <c r="G82" s="3">
        <v>-2000</v>
      </c>
      <c r="H82" t="s">
        <v>8</v>
      </c>
      <c r="I82" t="s">
        <v>9</v>
      </c>
    </row>
    <row r="83" spans="1:9" x14ac:dyDescent="0.25">
      <c r="A83" s="4">
        <v>81</v>
      </c>
      <c r="B83" t="s">
        <v>44</v>
      </c>
      <c r="C83" s="1">
        <v>45779</v>
      </c>
      <c r="D83" t="s">
        <v>10</v>
      </c>
      <c r="E83" t="str">
        <f t="shared" si="2"/>
        <v>Salaries</v>
      </c>
      <c r="F83" t="str">
        <f t="shared" si="3"/>
        <v/>
      </c>
      <c r="G83" s="3">
        <v>-5530</v>
      </c>
      <c r="H83" t="s">
        <v>8</v>
      </c>
      <c r="I83" t="s">
        <v>11</v>
      </c>
    </row>
    <row r="84" spans="1:9" x14ac:dyDescent="0.25">
      <c r="A84" s="4">
        <v>82</v>
      </c>
      <c r="B84" t="s">
        <v>44</v>
      </c>
      <c r="C84" s="1">
        <v>45780</v>
      </c>
      <c r="D84" t="s">
        <v>12</v>
      </c>
      <c r="E84" t="str">
        <f t="shared" si="2"/>
        <v>Utilities</v>
      </c>
      <c r="F84" t="str">
        <f t="shared" si="3"/>
        <v/>
      </c>
      <c r="G84" s="3">
        <v>-2500</v>
      </c>
      <c r="H84" t="s">
        <v>8</v>
      </c>
      <c r="I84" t="s">
        <v>9</v>
      </c>
    </row>
    <row r="85" spans="1:9" x14ac:dyDescent="0.25">
      <c r="A85" s="4">
        <v>83</v>
      </c>
      <c r="B85" t="s">
        <v>44</v>
      </c>
      <c r="C85" s="1">
        <v>45781</v>
      </c>
      <c r="D85" t="s">
        <v>13</v>
      </c>
      <c r="E85" t="str">
        <f t="shared" si="2"/>
        <v>Insurance Premium</v>
      </c>
      <c r="F85" t="str">
        <f t="shared" si="3"/>
        <v/>
      </c>
      <c r="G85" s="3">
        <v>-600</v>
      </c>
      <c r="H85" t="s">
        <v>8</v>
      </c>
      <c r="I85" t="s">
        <v>14</v>
      </c>
    </row>
    <row r="86" spans="1:9" x14ac:dyDescent="0.25">
      <c r="A86" s="4">
        <v>84</v>
      </c>
      <c r="B86" t="s">
        <v>44</v>
      </c>
      <c r="C86" s="1">
        <v>45782</v>
      </c>
      <c r="D86" t="s">
        <v>20</v>
      </c>
      <c r="E86" t="str">
        <f t="shared" si="2"/>
        <v>Equipment Repair</v>
      </c>
      <c r="F86" t="str">
        <f t="shared" si="3"/>
        <v/>
      </c>
      <c r="G86" s="3">
        <v>-125</v>
      </c>
      <c r="H86" t="s">
        <v>8</v>
      </c>
      <c r="I86" t="s">
        <v>21</v>
      </c>
    </row>
    <row r="87" spans="1:9" x14ac:dyDescent="0.25">
      <c r="A87" s="4">
        <v>85</v>
      </c>
      <c r="B87" t="s">
        <v>44</v>
      </c>
      <c r="C87" s="1">
        <v>45783</v>
      </c>
      <c r="D87" t="s">
        <v>34</v>
      </c>
      <c r="E87" t="str">
        <f t="shared" si="2"/>
        <v>Software Subscription</v>
      </c>
      <c r="F87" t="str">
        <f t="shared" si="3"/>
        <v/>
      </c>
      <c r="G87" s="3">
        <v>-1100</v>
      </c>
      <c r="H87" t="s">
        <v>8</v>
      </c>
      <c r="I87" t="s">
        <v>35</v>
      </c>
    </row>
    <row r="88" spans="1:9" x14ac:dyDescent="0.25">
      <c r="A88" s="4">
        <v>86</v>
      </c>
      <c r="B88" t="s">
        <v>44</v>
      </c>
      <c r="C88" s="1">
        <v>45784</v>
      </c>
      <c r="D88" t="s">
        <v>29</v>
      </c>
      <c r="E88" t="str">
        <f t="shared" si="2"/>
        <v>Bank Charges</v>
      </c>
      <c r="F88" t="str">
        <f t="shared" si="3"/>
        <v/>
      </c>
      <c r="G88" s="3">
        <v>-500</v>
      </c>
      <c r="H88" t="s">
        <v>8</v>
      </c>
      <c r="I88" t="s">
        <v>30</v>
      </c>
    </row>
    <row r="89" spans="1:9" x14ac:dyDescent="0.25">
      <c r="A89" s="4">
        <v>87</v>
      </c>
      <c r="B89" t="s">
        <v>44</v>
      </c>
      <c r="C89" s="1">
        <v>45785</v>
      </c>
      <c r="D89" t="s">
        <v>59</v>
      </c>
      <c r="E89" t="str">
        <f t="shared" si="2"/>
        <v>Advisory Fees</v>
      </c>
      <c r="F89" t="str">
        <f t="shared" si="3"/>
        <v>Alfred Bakery</v>
      </c>
      <c r="G89" s="3">
        <v>6000</v>
      </c>
      <c r="H89" t="s">
        <v>15</v>
      </c>
      <c r="I89" t="s">
        <v>37</v>
      </c>
    </row>
    <row r="90" spans="1:9" x14ac:dyDescent="0.25">
      <c r="A90" s="4">
        <v>88</v>
      </c>
      <c r="B90" t="s">
        <v>44</v>
      </c>
      <c r="C90" s="1">
        <v>45786</v>
      </c>
      <c r="D90" t="s">
        <v>91</v>
      </c>
      <c r="E90" t="str">
        <f t="shared" si="2"/>
        <v>Marketing Expense</v>
      </c>
      <c r="F90" t="str">
        <f t="shared" si="3"/>
        <v/>
      </c>
      <c r="G90" s="3">
        <v>-1200</v>
      </c>
      <c r="H90" t="s">
        <v>8</v>
      </c>
      <c r="I90" t="s">
        <v>23</v>
      </c>
    </row>
    <row r="91" spans="1:9" x14ac:dyDescent="0.25">
      <c r="A91" s="4">
        <v>89</v>
      </c>
      <c r="B91" t="s">
        <v>44</v>
      </c>
      <c r="C91" s="1">
        <v>45787</v>
      </c>
      <c r="D91" t="s">
        <v>60</v>
      </c>
      <c r="E91" t="str">
        <f t="shared" si="2"/>
        <v>Client Payment</v>
      </c>
      <c r="F91" t="str">
        <f t="shared" si="3"/>
        <v>Bloom School</v>
      </c>
      <c r="G91" s="3">
        <v>15000</v>
      </c>
      <c r="H91" t="s">
        <v>15</v>
      </c>
      <c r="I91" t="s">
        <v>36</v>
      </c>
    </row>
    <row r="92" spans="1:9" x14ac:dyDescent="0.25">
      <c r="A92" s="4">
        <v>90</v>
      </c>
      <c r="B92" t="s">
        <v>44</v>
      </c>
      <c r="C92" s="1">
        <v>45788</v>
      </c>
      <c r="D92" t="s">
        <v>20</v>
      </c>
      <c r="E92" t="str">
        <f t="shared" si="2"/>
        <v>Equipment Repair</v>
      </c>
      <c r="F92" t="str">
        <f t="shared" si="3"/>
        <v/>
      </c>
      <c r="G92" s="3">
        <v>-60</v>
      </c>
      <c r="H92" t="s">
        <v>8</v>
      </c>
      <c r="I92" t="s">
        <v>21</v>
      </c>
    </row>
    <row r="93" spans="1:9" x14ac:dyDescent="0.25">
      <c r="A93" s="4">
        <v>91</v>
      </c>
      <c r="B93" t="s">
        <v>44</v>
      </c>
      <c r="C93" s="1">
        <v>45789</v>
      </c>
      <c r="D93" t="s">
        <v>39</v>
      </c>
      <c r="E93" t="str">
        <f t="shared" si="2"/>
        <v>Miscellaneous Expenses</v>
      </c>
      <c r="F93" t="str">
        <f t="shared" si="3"/>
        <v/>
      </c>
      <c r="G93" s="3">
        <v>-630</v>
      </c>
      <c r="H93" t="s">
        <v>8</v>
      </c>
      <c r="I93" t="s">
        <v>40</v>
      </c>
    </row>
    <row r="94" spans="1:9" x14ac:dyDescent="0.25">
      <c r="A94" s="4">
        <v>92</v>
      </c>
      <c r="B94" t="s">
        <v>44</v>
      </c>
      <c r="C94" s="1">
        <v>45790</v>
      </c>
      <c r="D94" t="s">
        <v>39</v>
      </c>
      <c r="E94" t="str">
        <f t="shared" si="2"/>
        <v>Miscellaneous Expenses</v>
      </c>
      <c r="F94" t="str">
        <f t="shared" si="3"/>
        <v/>
      </c>
      <c r="G94" s="3">
        <v>-250</v>
      </c>
      <c r="H94" t="s">
        <v>8</v>
      </c>
      <c r="I94" t="s">
        <v>40</v>
      </c>
    </row>
    <row r="95" spans="1:9" x14ac:dyDescent="0.25">
      <c r="A95" s="4">
        <v>93</v>
      </c>
      <c r="B95" t="s">
        <v>44</v>
      </c>
      <c r="C95" s="1">
        <v>45791</v>
      </c>
      <c r="D95" t="s">
        <v>24</v>
      </c>
      <c r="E95" t="str">
        <f t="shared" si="2"/>
        <v>Staff Bonus</v>
      </c>
      <c r="F95" t="str">
        <f t="shared" si="3"/>
        <v/>
      </c>
      <c r="G95" s="3">
        <v>-1500</v>
      </c>
      <c r="H95" t="s">
        <v>8</v>
      </c>
      <c r="I95" t="s">
        <v>11</v>
      </c>
    </row>
    <row r="96" spans="1:9" x14ac:dyDescent="0.25">
      <c r="A96" s="4">
        <v>94</v>
      </c>
      <c r="B96" t="s">
        <v>44</v>
      </c>
      <c r="C96" s="1">
        <v>45792</v>
      </c>
      <c r="D96" t="s">
        <v>42</v>
      </c>
      <c r="E96" t="str">
        <f t="shared" si="2"/>
        <v>Travel Expenses</v>
      </c>
      <c r="F96" t="str">
        <f t="shared" si="3"/>
        <v/>
      </c>
      <c r="G96" s="3">
        <v>-1100</v>
      </c>
      <c r="H96" t="s">
        <v>8</v>
      </c>
      <c r="I96" t="s">
        <v>43</v>
      </c>
    </row>
    <row r="97" spans="1:9" x14ac:dyDescent="0.25">
      <c r="A97" s="4">
        <v>95</v>
      </c>
      <c r="B97" t="s">
        <v>44</v>
      </c>
      <c r="C97" s="1">
        <v>45793</v>
      </c>
      <c r="D97" t="s">
        <v>29</v>
      </c>
      <c r="E97" t="str">
        <f t="shared" si="2"/>
        <v>Bank Charges</v>
      </c>
      <c r="F97" t="str">
        <f t="shared" si="3"/>
        <v/>
      </c>
      <c r="G97" s="3">
        <v>-500</v>
      </c>
      <c r="H97" t="s">
        <v>8</v>
      </c>
      <c r="I97" t="s">
        <v>30</v>
      </c>
    </row>
    <row r="98" spans="1:9" x14ac:dyDescent="0.25">
      <c r="A98" s="4">
        <v>96</v>
      </c>
      <c r="B98" t="s">
        <v>44</v>
      </c>
      <c r="C98" s="1">
        <v>45794</v>
      </c>
      <c r="D98" t="s">
        <v>26</v>
      </c>
      <c r="E98" t="str">
        <f t="shared" si="2"/>
        <v>Legal Fees</v>
      </c>
      <c r="F98" t="str">
        <f t="shared" si="3"/>
        <v/>
      </c>
      <c r="G98" s="3">
        <v>-3000</v>
      </c>
      <c r="H98" t="s">
        <v>8</v>
      </c>
      <c r="I98" t="s">
        <v>27</v>
      </c>
    </row>
    <row r="99" spans="1:9" x14ac:dyDescent="0.25">
      <c r="A99" s="4">
        <v>97</v>
      </c>
      <c r="B99" t="s">
        <v>44</v>
      </c>
      <c r="C99" s="1">
        <v>45795</v>
      </c>
      <c r="D99" t="s">
        <v>29</v>
      </c>
      <c r="E99" t="str">
        <f t="shared" si="2"/>
        <v>Bank Charges</v>
      </c>
      <c r="F99" t="str">
        <f t="shared" si="3"/>
        <v/>
      </c>
      <c r="G99" s="3">
        <v>-500</v>
      </c>
      <c r="H99" t="s">
        <v>8</v>
      </c>
      <c r="I99" t="s">
        <v>30</v>
      </c>
    </row>
    <row r="100" spans="1:9" x14ac:dyDescent="0.25">
      <c r="A100" s="4">
        <v>98</v>
      </c>
      <c r="B100" t="s">
        <v>44</v>
      </c>
      <c r="C100" s="1">
        <v>45796</v>
      </c>
      <c r="D100" t="s">
        <v>58</v>
      </c>
      <c r="E100" t="str">
        <f t="shared" si="2"/>
        <v>Event Sponsorship</v>
      </c>
      <c r="F100" t="str">
        <f t="shared" si="3"/>
        <v>NN Bank</v>
      </c>
      <c r="G100" s="3">
        <v>5000</v>
      </c>
      <c r="H100" t="s">
        <v>15</v>
      </c>
      <c r="I100" t="s">
        <v>25</v>
      </c>
    </row>
    <row r="101" spans="1:9" x14ac:dyDescent="0.25">
      <c r="A101" s="4">
        <v>99</v>
      </c>
      <c r="B101" t="s">
        <v>44</v>
      </c>
      <c r="C101" s="1">
        <v>45797</v>
      </c>
      <c r="D101" t="s">
        <v>20</v>
      </c>
      <c r="E101" t="str">
        <f t="shared" si="2"/>
        <v>Equipment Repair</v>
      </c>
      <c r="F101" t="str">
        <f t="shared" si="3"/>
        <v/>
      </c>
      <c r="G101" s="3">
        <v>-80</v>
      </c>
      <c r="H101" t="s">
        <v>8</v>
      </c>
      <c r="I101" t="s">
        <v>21</v>
      </c>
    </row>
    <row r="102" spans="1:9" x14ac:dyDescent="0.25">
      <c r="A102" s="4">
        <v>100</v>
      </c>
      <c r="B102" t="s">
        <v>45</v>
      </c>
      <c r="C102" s="1">
        <v>45809</v>
      </c>
      <c r="D102" t="s">
        <v>7</v>
      </c>
      <c r="E102" t="str">
        <f t="shared" si="2"/>
        <v>Office Rent</v>
      </c>
      <c r="F102" t="str">
        <f t="shared" si="3"/>
        <v/>
      </c>
      <c r="G102" s="3">
        <v>-2000</v>
      </c>
      <c r="H102" t="s">
        <v>8</v>
      </c>
      <c r="I102" t="s">
        <v>9</v>
      </c>
    </row>
    <row r="103" spans="1:9" x14ac:dyDescent="0.25">
      <c r="A103" s="4">
        <v>101</v>
      </c>
      <c r="B103" t="s">
        <v>45</v>
      </c>
      <c r="C103" s="1">
        <v>45810</v>
      </c>
      <c r="D103" t="s">
        <v>10</v>
      </c>
      <c r="E103" t="str">
        <f t="shared" si="2"/>
        <v>Salaries</v>
      </c>
      <c r="F103" t="str">
        <f t="shared" si="3"/>
        <v/>
      </c>
      <c r="G103" s="3">
        <v>-5200</v>
      </c>
      <c r="H103" t="s">
        <v>8</v>
      </c>
      <c r="I103" t="s">
        <v>11</v>
      </c>
    </row>
    <row r="104" spans="1:9" x14ac:dyDescent="0.25">
      <c r="A104" s="4">
        <v>102</v>
      </c>
      <c r="B104" t="s">
        <v>45</v>
      </c>
      <c r="C104" s="1">
        <v>45811</v>
      </c>
      <c r="D104" t="s">
        <v>12</v>
      </c>
      <c r="E104" t="str">
        <f t="shared" si="2"/>
        <v>Utilities</v>
      </c>
      <c r="F104" t="str">
        <f t="shared" si="3"/>
        <v/>
      </c>
      <c r="G104" s="3">
        <v>-2588</v>
      </c>
      <c r="H104" t="s">
        <v>8</v>
      </c>
      <c r="I104" t="s">
        <v>9</v>
      </c>
    </row>
    <row r="105" spans="1:9" x14ac:dyDescent="0.25">
      <c r="A105" s="4">
        <v>103</v>
      </c>
      <c r="B105" t="s">
        <v>45</v>
      </c>
      <c r="C105" s="1">
        <v>45812</v>
      </c>
      <c r="D105" t="s">
        <v>13</v>
      </c>
      <c r="E105" t="str">
        <f t="shared" si="2"/>
        <v>Insurance Premium</v>
      </c>
      <c r="F105" t="str">
        <f t="shared" si="3"/>
        <v/>
      </c>
      <c r="G105" s="3">
        <v>-600</v>
      </c>
      <c r="H105" t="s">
        <v>8</v>
      </c>
      <c r="I105" t="s">
        <v>14</v>
      </c>
    </row>
    <row r="106" spans="1:9" x14ac:dyDescent="0.25">
      <c r="A106" s="4">
        <v>104</v>
      </c>
      <c r="B106" t="s">
        <v>45</v>
      </c>
      <c r="C106" s="1">
        <v>45813</v>
      </c>
      <c r="D106" t="s">
        <v>91</v>
      </c>
      <c r="E106" t="str">
        <f t="shared" si="2"/>
        <v>Marketing Expense</v>
      </c>
      <c r="F106" t="str">
        <f t="shared" si="3"/>
        <v/>
      </c>
      <c r="G106" s="3">
        <v>-500</v>
      </c>
      <c r="H106" t="s">
        <v>8</v>
      </c>
      <c r="I106" t="s">
        <v>23</v>
      </c>
    </row>
    <row r="107" spans="1:9" x14ac:dyDescent="0.25">
      <c r="A107" s="4">
        <v>105</v>
      </c>
      <c r="B107" t="s">
        <v>45</v>
      </c>
      <c r="C107" s="1">
        <v>45814</v>
      </c>
      <c r="D107" t="s">
        <v>17</v>
      </c>
      <c r="E107" t="str">
        <f t="shared" si="2"/>
        <v>Office Supplies</v>
      </c>
      <c r="F107" t="str">
        <f t="shared" si="3"/>
        <v/>
      </c>
      <c r="G107" s="3">
        <v>-240</v>
      </c>
      <c r="H107" t="s">
        <v>8</v>
      </c>
      <c r="I107" t="s">
        <v>18</v>
      </c>
    </row>
    <row r="108" spans="1:9" x14ac:dyDescent="0.25">
      <c r="A108" s="4">
        <v>106</v>
      </c>
      <c r="B108" t="s">
        <v>45</v>
      </c>
      <c r="C108" s="1">
        <v>45815</v>
      </c>
      <c r="D108" t="s">
        <v>42</v>
      </c>
      <c r="E108" t="str">
        <f t="shared" si="2"/>
        <v>Travel Expenses</v>
      </c>
      <c r="F108" t="str">
        <f t="shared" si="3"/>
        <v/>
      </c>
      <c r="G108" s="3">
        <v>-1200</v>
      </c>
      <c r="H108" t="s">
        <v>8</v>
      </c>
      <c r="I108" t="s">
        <v>43</v>
      </c>
    </row>
    <row r="109" spans="1:9" x14ac:dyDescent="0.25">
      <c r="A109" s="4">
        <v>107</v>
      </c>
      <c r="B109" t="s">
        <v>45</v>
      </c>
      <c r="C109" s="1">
        <v>45816</v>
      </c>
      <c r="D109" t="s">
        <v>32</v>
      </c>
      <c r="E109" t="str">
        <f t="shared" si="2"/>
        <v>Equipment Purchase</v>
      </c>
      <c r="F109" t="str">
        <f t="shared" si="3"/>
        <v/>
      </c>
      <c r="G109" s="3">
        <v>-800</v>
      </c>
      <c r="H109" t="s">
        <v>8</v>
      </c>
      <c r="I109" t="s">
        <v>33</v>
      </c>
    </row>
    <row r="110" spans="1:9" x14ac:dyDescent="0.25">
      <c r="A110" s="4">
        <v>108</v>
      </c>
      <c r="B110" t="s">
        <v>45</v>
      </c>
      <c r="C110" s="1">
        <v>45817</v>
      </c>
      <c r="D110" t="s">
        <v>17</v>
      </c>
      <c r="E110" t="str">
        <f t="shared" si="2"/>
        <v>Office Supplies</v>
      </c>
      <c r="F110" t="str">
        <f t="shared" si="3"/>
        <v/>
      </c>
      <c r="G110" s="3">
        <v>-55</v>
      </c>
      <c r="H110" t="s">
        <v>8</v>
      </c>
      <c r="I110" t="s">
        <v>18</v>
      </c>
    </row>
    <row r="111" spans="1:9" x14ac:dyDescent="0.25">
      <c r="A111" s="4">
        <v>109</v>
      </c>
      <c r="B111" t="s">
        <v>45</v>
      </c>
      <c r="C111" s="1">
        <v>45818</v>
      </c>
      <c r="D111" t="s">
        <v>20</v>
      </c>
      <c r="E111" t="str">
        <f t="shared" si="2"/>
        <v>Equipment Repair</v>
      </c>
      <c r="F111" t="str">
        <f t="shared" si="3"/>
        <v/>
      </c>
      <c r="G111" s="3">
        <v>-340</v>
      </c>
      <c r="H111" t="s">
        <v>8</v>
      </c>
      <c r="I111" t="s">
        <v>21</v>
      </c>
    </row>
    <row r="112" spans="1:9" x14ac:dyDescent="0.25">
      <c r="A112" s="4">
        <v>110</v>
      </c>
      <c r="B112" t="s">
        <v>45</v>
      </c>
      <c r="C112" s="1">
        <v>45819</v>
      </c>
      <c r="D112" t="s">
        <v>63</v>
      </c>
      <c r="E112" t="str">
        <f t="shared" si="2"/>
        <v>Advisory Fees</v>
      </c>
      <c r="F112" t="str">
        <f t="shared" si="3"/>
        <v>Flex Printers</v>
      </c>
      <c r="G112" s="3">
        <v>5300</v>
      </c>
      <c r="H112" t="s">
        <v>15</v>
      </c>
      <c r="I112" t="s">
        <v>37</v>
      </c>
    </row>
    <row r="113" spans="1:9" x14ac:dyDescent="0.25">
      <c r="A113" s="4">
        <v>111</v>
      </c>
      <c r="B113" t="s">
        <v>45</v>
      </c>
      <c r="C113" s="1">
        <v>45820</v>
      </c>
      <c r="D113" t="s">
        <v>34</v>
      </c>
      <c r="E113" t="str">
        <f t="shared" si="2"/>
        <v>Software Subscription</v>
      </c>
      <c r="F113" t="str">
        <f t="shared" si="3"/>
        <v/>
      </c>
      <c r="G113" s="3">
        <v>-1100</v>
      </c>
      <c r="H113" t="s">
        <v>8</v>
      </c>
      <c r="I113" t="s">
        <v>35</v>
      </c>
    </row>
    <row r="114" spans="1:9" x14ac:dyDescent="0.25">
      <c r="A114" s="4">
        <v>112</v>
      </c>
      <c r="B114" t="s">
        <v>45</v>
      </c>
      <c r="C114" s="1">
        <v>45821</v>
      </c>
      <c r="D114" t="s">
        <v>29</v>
      </c>
      <c r="E114" t="str">
        <f t="shared" si="2"/>
        <v>Bank Charges</v>
      </c>
      <c r="F114" t="str">
        <f t="shared" si="3"/>
        <v/>
      </c>
      <c r="G114" s="3">
        <v>-500</v>
      </c>
      <c r="H114" t="s">
        <v>8</v>
      </c>
      <c r="I114" t="s">
        <v>30</v>
      </c>
    </row>
    <row r="115" spans="1:9" x14ac:dyDescent="0.25">
      <c r="A115" s="4">
        <v>113</v>
      </c>
      <c r="B115" t="s">
        <v>45</v>
      </c>
      <c r="C115" s="1">
        <v>45822</v>
      </c>
      <c r="D115" t="s">
        <v>20</v>
      </c>
      <c r="E115" t="str">
        <f t="shared" si="2"/>
        <v>Equipment Repair</v>
      </c>
      <c r="F115" t="str">
        <f t="shared" si="3"/>
        <v/>
      </c>
      <c r="G115" s="3">
        <v>-600</v>
      </c>
      <c r="H115" t="s">
        <v>8</v>
      </c>
      <c r="I115" t="s">
        <v>21</v>
      </c>
    </row>
    <row r="116" spans="1:9" x14ac:dyDescent="0.25">
      <c r="A116" s="4">
        <v>114</v>
      </c>
      <c r="B116" t="s">
        <v>45</v>
      </c>
      <c r="C116" s="1">
        <v>45823</v>
      </c>
      <c r="D116" t="s">
        <v>24</v>
      </c>
      <c r="E116" t="str">
        <f t="shared" si="2"/>
        <v>Staff Bonus</v>
      </c>
      <c r="F116" t="str">
        <f t="shared" si="3"/>
        <v/>
      </c>
      <c r="G116" s="3">
        <v>-2500</v>
      </c>
      <c r="H116" t="s">
        <v>8</v>
      </c>
      <c r="I116" t="s">
        <v>11</v>
      </c>
    </row>
    <row r="117" spans="1:9" x14ac:dyDescent="0.25">
      <c r="A117" s="4">
        <v>115</v>
      </c>
      <c r="B117" t="s">
        <v>45</v>
      </c>
      <c r="C117" s="1">
        <v>45824</v>
      </c>
      <c r="D117" t="s">
        <v>17</v>
      </c>
      <c r="E117" t="str">
        <f t="shared" si="2"/>
        <v>Office Supplies</v>
      </c>
      <c r="F117" t="str">
        <f t="shared" si="3"/>
        <v/>
      </c>
      <c r="G117" s="3">
        <v>-48</v>
      </c>
      <c r="H117" t="s">
        <v>8</v>
      </c>
      <c r="I117" t="s">
        <v>18</v>
      </c>
    </row>
    <row r="118" spans="1:9" x14ac:dyDescent="0.25">
      <c r="A118" s="4">
        <v>116</v>
      </c>
      <c r="B118" t="s">
        <v>45</v>
      </c>
      <c r="C118" s="1">
        <v>45825</v>
      </c>
      <c r="D118" t="s">
        <v>61</v>
      </c>
      <c r="E118" t="str">
        <f t="shared" si="2"/>
        <v>Software Licensing</v>
      </c>
      <c r="F118" t="str">
        <f t="shared" si="3"/>
        <v>Bloom School</v>
      </c>
      <c r="G118" s="3">
        <v>4000</v>
      </c>
      <c r="H118" t="s">
        <v>15</v>
      </c>
      <c r="I118" t="s">
        <v>16</v>
      </c>
    </row>
    <row r="119" spans="1:9" x14ac:dyDescent="0.25">
      <c r="A119" s="4">
        <v>117</v>
      </c>
      <c r="B119" t="s">
        <v>45</v>
      </c>
      <c r="C119" s="1">
        <v>45826</v>
      </c>
      <c r="D119" t="s">
        <v>62</v>
      </c>
      <c r="E119" t="str">
        <f t="shared" si="2"/>
        <v>Consulting Fee</v>
      </c>
      <c r="F119" t="str">
        <f t="shared" si="3"/>
        <v>Ink Shop</v>
      </c>
      <c r="G119" s="3">
        <v>15000</v>
      </c>
      <c r="H119" t="s">
        <v>15</v>
      </c>
      <c r="I119" t="s">
        <v>19</v>
      </c>
    </row>
    <row r="120" spans="1:9" x14ac:dyDescent="0.25">
      <c r="A120" s="4">
        <v>118</v>
      </c>
      <c r="B120" t="s">
        <v>45</v>
      </c>
      <c r="C120" s="1">
        <v>45827</v>
      </c>
      <c r="D120" t="s">
        <v>64</v>
      </c>
      <c r="E120" t="str">
        <f t="shared" si="2"/>
        <v>Advisory Fees</v>
      </c>
      <c r="F120" t="str">
        <f t="shared" si="3"/>
        <v>ABC Bank</v>
      </c>
      <c r="G120" s="3">
        <v>8000</v>
      </c>
      <c r="H120" t="s">
        <v>15</v>
      </c>
      <c r="I120" t="s">
        <v>37</v>
      </c>
    </row>
    <row r="121" spans="1:9" x14ac:dyDescent="0.25">
      <c r="A121" s="4">
        <v>119</v>
      </c>
      <c r="B121" t="s">
        <v>45</v>
      </c>
      <c r="C121" s="1">
        <v>45828</v>
      </c>
      <c r="D121" t="s">
        <v>39</v>
      </c>
      <c r="E121" t="str">
        <f t="shared" si="2"/>
        <v>Miscellaneous Expenses</v>
      </c>
      <c r="F121" t="str">
        <f t="shared" si="3"/>
        <v/>
      </c>
      <c r="G121" s="3">
        <v>-560</v>
      </c>
      <c r="H121" t="s">
        <v>8</v>
      </c>
      <c r="I121" t="s">
        <v>40</v>
      </c>
    </row>
  </sheetData>
  <autoFilter ref="A1:I121" xr:uid="{690A1F46-8247-4951-88BA-45A078C1379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50CB-8614-407A-9FDD-1B2E8F1AF203}">
  <dimension ref="A2:D10"/>
  <sheetViews>
    <sheetView showGridLines="0" workbookViewId="0">
      <selection activeCell="C10" sqref="C10"/>
    </sheetView>
  </sheetViews>
  <sheetFormatPr defaultRowHeight="15" x14ac:dyDescent="0.25"/>
  <cols>
    <col min="1" max="1" width="17.85546875" bestFit="1" customWidth="1"/>
    <col min="2" max="3" width="11.42578125" bestFit="1" customWidth="1"/>
    <col min="4" max="4" width="11.28515625" bestFit="1" customWidth="1"/>
  </cols>
  <sheetData>
    <row r="2" spans="1:4" x14ac:dyDescent="0.25">
      <c r="A2" s="6" t="s">
        <v>48</v>
      </c>
      <c r="B2" s="6" t="s">
        <v>4</v>
      </c>
    </row>
    <row r="3" spans="1:4" x14ac:dyDescent="0.25">
      <c r="A3" s="6" t="s">
        <v>1</v>
      </c>
      <c r="B3" t="s">
        <v>15</v>
      </c>
      <c r="C3" t="s">
        <v>8</v>
      </c>
      <c r="D3" t="s">
        <v>49</v>
      </c>
    </row>
    <row r="4" spans="1:4" x14ac:dyDescent="0.25">
      <c r="A4" t="s">
        <v>6</v>
      </c>
      <c r="B4" s="5">
        <v>39000</v>
      </c>
      <c r="C4" s="5">
        <v>-11618</v>
      </c>
      <c r="D4" s="5">
        <v>27382</v>
      </c>
    </row>
    <row r="5" spans="1:4" x14ac:dyDescent="0.25">
      <c r="A5" t="s">
        <v>31</v>
      </c>
      <c r="B5" s="5">
        <v>31100</v>
      </c>
      <c r="C5" s="5">
        <v>-13166</v>
      </c>
      <c r="D5" s="5">
        <v>17934</v>
      </c>
    </row>
    <row r="6" spans="1:4" x14ac:dyDescent="0.25">
      <c r="A6" t="s">
        <v>38</v>
      </c>
      <c r="B6" s="5">
        <v>24000</v>
      </c>
      <c r="C6" s="5">
        <v>-16878</v>
      </c>
      <c r="D6" s="5">
        <v>7122</v>
      </c>
    </row>
    <row r="7" spans="1:4" x14ac:dyDescent="0.25">
      <c r="A7" t="s">
        <v>41</v>
      </c>
      <c r="B7" s="5">
        <v>33700</v>
      </c>
      <c r="C7" s="5">
        <v>-16501</v>
      </c>
      <c r="D7" s="5">
        <v>17199</v>
      </c>
    </row>
    <row r="8" spans="1:4" x14ac:dyDescent="0.25">
      <c r="A8" t="s">
        <v>44</v>
      </c>
      <c r="B8" s="5">
        <v>26000</v>
      </c>
      <c r="C8" s="5">
        <v>-21175</v>
      </c>
      <c r="D8" s="5">
        <v>4825</v>
      </c>
    </row>
    <row r="9" spans="1:4" x14ac:dyDescent="0.25">
      <c r="A9" t="s">
        <v>45</v>
      </c>
      <c r="B9" s="5">
        <v>32300</v>
      </c>
      <c r="C9" s="5">
        <v>-18831</v>
      </c>
      <c r="D9" s="5">
        <v>13469</v>
      </c>
    </row>
    <row r="10" spans="1:4" x14ac:dyDescent="0.25">
      <c r="A10" t="s">
        <v>49</v>
      </c>
      <c r="B10" s="5">
        <v>186100</v>
      </c>
      <c r="C10" s="5">
        <v>-98169</v>
      </c>
      <c r="D10" s="5">
        <v>87931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8D4B4-72D4-424A-9720-68D6F012D704}">
  <dimension ref="A2:B19"/>
  <sheetViews>
    <sheetView showGridLines="0" topLeftCell="A4" workbookViewId="0">
      <selection activeCell="L4" sqref="L4"/>
    </sheetView>
  </sheetViews>
  <sheetFormatPr defaultRowHeight="15" x14ac:dyDescent="0.25"/>
  <cols>
    <col min="1" max="1" width="22.85546875" bestFit="1" customWidth="1"/>
    <col min="2" max="2" width="17.85546875" bestFit="1" customWidth="1"/>
  </cols>
  <sheetData>
    <row r="2" spans="1:2" x14ac:dyDescent="0.25">
      <c r="A2" s="6" t="s">
        <v>4</v>
      </c>
      <c r="B2" t="s">
        <v>8</v>
      </c>
    </row>
    <row r="4" spans="1:2" x14ac:dyDescent="0.25">
      <c r="A4" s="6" t="s">
        <v>2</v>
      </c>
      <c r="B4" t="s">
        <v>48</v>
      </c>
    </row>
    <row r="5" spans="1:2" x14ac:dyDescent="0.25">
      <c r="A5" t="s">
        <v>29</v>
      </c>
      <c r="B5" s="5">
        <v>-3000</v>
      </c>
    </row>
    <row r="6" spans="1:2" x14ac:dyDescent="0.25">
      <c r="A6" t="s">
        <v>32</v>
      </c>
      <c r="B6" s="5">
        <v>-4000</v>
      </c>
    </row>
    <row r="7" spans="1:2" x14ac:dyDescent="0.25">
      <c r="A7" t="s">
        <v>20</v>
      </c>
      <c r="B7" s="5">
        <v>-1945</v>
      </c>
    </row>
    <row r="8" spans="1:2" x14ac:dyDescent="0.25">
      <c r="A8" t="s">
        <v>13</v>
      </c>
      <c r="B8" s="5">
        <v>-3600</v>
      </c>
    </row>
    <row r="9" spans="1:2" x14ac:dyDescent="0.25">
      <c r="A9" t="s">
        <v>26</v>
      </c>
      <c r="B9" s="5">
        <v>-5100</v>
      </c>
    </row>
    <row r="10" spans="1:2" x14ac:dyDescent="0.25">
      <c r="A10" t="s">
        <v>22</v>
      </c>
      <c r="B10" s="5">
        <v>-5680</v>
      </c>
    </row>
    <row r="11" spans="1:2" x14ac:dyDescent="0.25">
      <c r="A11" t="s">
        <v>39</v>
      </c>
      <c r="B11" s="5">
        <v>-2530</v>
      </c>
    </row>
    <row r="12" spans="1:2" x14ac:dyDescent="0.25">
      <c r="A12" t="s">
        <v>7</v>
      </c>
      <c r="B12" s="5">
        <v>-12000</v>
      </c>
    </row>
    <row r="13" spans="1:2" x14ac:dyDescent="0.25">
      <c r="A13" t="s">
        <v>17</v>
      </c>
      <c r="B13" s="5">
        <v>-1771</v>
      </c>
    </row>
    <row r="14" spans="1:2" x14ac:dyDescent="0.25">
      <c r="A14" t="s">
        <v>10</v>
      </c>
      <c r="B14" s="5">
        <v>-28903</v>
      </c>
    </row>
    <row r="15" spans="1:2" x14ac:dyDescent="0.25">
      <c r="A15" t="s">
        <v>34</v>
      </c>
      <c r="B15" s="5">
        <v>-5700</v>
      </c>
    </row>
    <row r="16" spans="1:2" x14ac:dyDescent="0.25">
      <c r="A16" t="s">
        <v>24</v>
      </c>
      <c r="B16" s="5">
        <v>-6000</v>
      </c>
    </row>
    <row r="17" spans="1:2" x14ac:dyDescent="0.25">
      <c r="A17" t="s">
        <v>42</v>
      </c>
      <c r="B17" s="5">
        <v>-4600</v>
      </c>
    </row>
    <row r="18" spans="1:2" x14ac:dyDescent="0.25">
      <c r="A18" t="s">
        <v>12</v>
      </c>
      <c r="B18" s="5">
        <v>-13340</v>
      </c>
    </row>
    <row r="19" spans="1:2" x14ac:dyDescent="0.25">
      <c r="A19" t="s">
        <v>49</v>
      </c>
      <c r="B19" s="5">
        <v>-98169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5CED6-D414-48D0-80AF-709B6780CCEA}">
  <dimension ref="A2:B6"/>
  <sheetViews>
    <sheetView showGridLines="0" workbookViewId="0"/>
  </sheetViews>
  <sheetFormatPr defaultRowHeight="15" x14ac:dyDescent="0.25"/>
  <cols>
    <col min="1" max="1" width="14.5703125" bestFit="1" customWidth="1"/>
    <col min="2" max="2" width="17.85546875" bestFit="1" customWidth="1"/>
  </cols>
  <sheetData>
    <row r="2" spans="1:2" x14ac:dyDescent="0.25">
      <c r="A2" s="6" t="s">
        <v>4</v>
      </c>
      <c r="B2" t="s">
        <v>15</v>
      </c>
    </row>
    <row r="4" spans="1:2" x14ac:dyDescent="0.25">
      <c r="A4" s="6" t="s">
        <v>76</v>
      </c>
      <c r="B4" t="s">
        <v>48</v>
      </c>
    </row>
    <row r="5" spans="1:2" x14ac:dyDescent="0.25">
      <c r="A5" t="s">
        <v>81</v>
      </c>
      <c r="B5" s="5">
        <v>26500</v>
      </c>
    </row>
    <row r="6" spans="1:2" x14ac:dyDescent="0.25">
      <c r="A6" t="s">
        <v>49</v>
      </c>
      <c r="B6" s="5">
        <v>26500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CB53-E506-4F98-9B3C-0B8FB1DF93AE}">
  <dimension ref="A2:B10"/>
  <sheetViews>
    <sheetView workbookViewId="0">
      <selection activeCell="B3" sqref="B3:B10"/>
    </sheetView>
  </sheetViews>
  <sheetFormatPr defaultRowHeight="15" x14ac:dyDescent="0.25"/>
  <cols>
    <col min="1" max="1" width="17.85546875" bestFit="1" customWidth="1"/>
    <col min="2" max="2" width="16.28515625" customWidth="1"/>
  </cols>
  <sheetData>
    <row r="2" spans="1:2" x14ac:dyDescent="0.25">
      <c r="A2" t="s">
        <v>76</v>
      </c>
      <c r="B2" t="s">
        <v>88</v>
      </c>
    </row>
    <row r="3" spans="1:2" x14ac:dyDescent="0.25">
      <c r="A3" t="s">
        <v>77</v>
      </c>
      <c r="B3">
        <v>3</v>
      </c>
    </row>
    <row r="4" spans="1:2" x14ac:dyDescent="0.25">
      <c r="A4" t="s">
        <v>78</v>
      </c>
      <c r="B4">
        <v>2</v>
      </c>
    </row>
    <row r="5" spans="1:2" x14ac:dyDescent="0.25">
      <c r="A5" t="s">
        <v>79</v>
      </c>
      <c r="B5">
        <v>2</v>
      </c>
    </row>
    <row r="6" spans="1:2" x14ac:dyDescent="0.25">
      <c r="A6" t="s">
        <v>80</v>
      </c>
      <c r="B6">
        <v>2</v>
      </c>
    </row>
    <row r="7" spans="1:2" x14ac:dyDescent="0.25">
      <c r="A7" t="s">
        <v>81</v>
      </c>
      <c r="B7">
        <v>2</v>
      </c>
    </row>
    <row r="8" spans="1:2" x14ac:dyDescent="0.25">
      <c r="A8" t="s">
        <v>82</v>
      </c>
      <c r="B8">
        <v>2</v>
      </c>
    </row>
    <row r="9" spans="1:2" x14ac:dyDescent="0.25">
      <c r="A9" t="s">
        <v>83</v>
      </c>
      <c r="B9">
        <v>2</v>
      </c>
    </row>
    <row r="10" spans="1:2" x14ac:dyDescent="0.25">
      <c r="A10" t="s">
        <v>84</v>
      </c>
      <c r="B10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BBBB-A1F0-4F75-8809-3FD170CCD08D}">
  <dimension ref="A2:C15"/>
  <sheetViews>
    <sheetView showGridLines="0" tabSelected="1" topLeftCell="A3" workbookViewId="0">
      <selection activeCell="B4" sqref="B4"/>
    </sheetView>
  </sheetViews>
  <sheetFormatPr defaultRowHeight="15" x14ac:dyDescent="0.25"/>
  <cols>
    <col min="1" max="1" width="16.140625" bestFit="1" customWidth="1"/>
    <col min="2" max="2" width="19.85546875" bestFit="1" customWidth="1"/>
    <col min="3" max="3" width="17.85546875" bestFit="1" customWidth="1"/>
  </cols>
  <sheetData>
    <row r="2" spans="1:3" x14ac:dyDescent="0.25">
      <c r="A2" s="6" t="s">
        <v>2</v>
      </c>
      <c r="B2" t="s">
        <v>91</v>
      </c>
    </row>
    <row r="4" spans="1:3" x14ac:dyDescent="0.25">
      <c r="A4" s="6" t="s">
        <v>1</v>
      </c>
      <c r="B4" s="6" t="s">
        <v>4</v>
      </c>
      <c r="C4" t="s">
        <v>48</v>
      </c>
    </row>
    <row r="5" spans="1:3" x14ac:dyDescent="0.25">
      <c r="A5" t="s">
        <v>45</v>
      </c>
      <c r="B5" t="s">
        <v>8</v>
      </c>
      <c r="C5" s="5">
        <v>-500</v>
      </c>
    </row>
    <row r="6" spans="1:3" x14ac:dyDescent="0.25">
      <c r="A6" t="s">
        <v>54</v>
      </c>
      <c r="C6" s="5">
        <v>-500</v>
      </c>
    </row>
    <row r="7" spans="1:3" x14ac:dyDescent="0.25">
      <c r="A7" t="s">
        <v>31</v>
      </c>
      <c r="B7" t="s">
        <v>8</v>
      </c>
      <c r="C7" s="5">
        <v>-700</v>
      </c>
    </row>
    <row r="8" spans="1:3" x14ac:dyDescent="0.25">
      <c r="A8" t="s">
        <v>50</v>
      </c>
      <c r="C8" s="5">
        <v>-700</v>
      </c>
    </row>
    <row r="9" spans="1:3" x14ac:dyDescent="0.25">
      <c r="A9" t="s">
        <v>44</v>
      </c>
      <c r="B9" t="s">
        <v>8</v>
      </c>
      <c r="C9" s="5">
        <v>-1200</v>
      </c>
    </row>
    <row r="10" spans="1:3" x14ac:dyDescent="0.25">
      <c r="A10" t="s">
        <v>53</v>
      </c>
      <c r="C10" s="5">
        <v>-1200</v>
      </c>
    </row>
    <row r="11" spans="1:3" x14ac:dyDescent="0.25">
      <c r="A11" t="s">
        <v>38</v>
      </c>
      <c r="B11" t="s">
        <v>8</v>
      </c>
      <c r="C11" s="5">
        <v>-1200</v>
      </c>
    </row>
    <row r="12" spans="1:3" x14ac:dyDescent="0.25">
      <c r="A12" t="s">
        <v>51</v>
      </c>
      <c r="C12" s="5">
        <v>-1200</v>
      </c>
    </row>
    <row r="13" spans="1:3" x14ac:dyDescent="0.25">
      <c r="A13" t="s">
        <v>41</v>
      </c>
      <c r="B13" t="s">
        <v>8</v>
      </c>
      <c r="C13" s="5">
        <v>-1580</v>
      </c>
    </row>
    <row r="14" spans="1:3" x14ac:dyDescent="0.25">
      <c r="A14" t="s">
        <v>52</v>
      </c>
      <c r="C14" s="5">
        <v>-1580</v>
      </c>
    </row>
    <row r="15" spans="1:3" x14ac:dyDescent="0.25">
      <c r="A15" t="s">
        <v>49</v>
      </c>
      <c r="C15" s="5">
        <v>-5180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Cash_Flow_Report</vt:lpstr>
      <vt:lpstr>Sheet1</vt:lpstr>
      <vt:lpstr>Sheet2</vt:lpstr>
      <vt:lpstr>Sheet3</vt:lpstr>
      <vt:lpstr>Sheet4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Ayesha Younis</cp:lastModifiedBy>
  <dcterms:created xsi:type="dcterms:W3CDTF">2025-03-19T10:07:24Z</dcterms:created>
  <dcterms:modified xsi:type="dcterms:W3CDTF">2025-03-29T07:25:54Z</dcterms:modified>
</cp:coreProperties>
</file>