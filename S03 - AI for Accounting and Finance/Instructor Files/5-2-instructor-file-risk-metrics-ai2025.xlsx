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xial Consulting\AI-in-accounting-and-finance\Course files\Module 5\"/>
    </mc:Choice>
  </mc:AlternateContent>
  <xr:revisionPtr revIDLastSave="0" documentId="13_ncr:1_{9C81BE1F-C302-46AD-A99B-735ABDA975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 l="1"/>
</calcChain>
</file>

<file path=xl/sharedStrings.xml><?xml version="1.0" encoding="utf-8"?>
<sst xmlns="http://schemas.openxmlformats.org/spreadsheetml/2006/main" count="25" uniqueCount="25">
  <si>
    <t>Risk Title</t>
  </si>
  <si>
    <t>Recommended Metric</t>
  </si>
  <si>
    <t>Formula</t>
  </si>
  <si>
    <t>Interpretation Guide</t>
  </si>
  <si>
    <t>Resource Constraints &amp; Workload Balancing</t>
  </si>
  <si>
    <t>Currency Fluctuations (USD/CAD)</t>
  </si>
  <si>
    <t>Cross-Border Regulatory Changes</t>
  </si>
  <si>
    <t>Key Personnel Dependency</t>
  </si>
  <si>
    <t>Inefficient Internal Processes</t>
  </si>
  <si>
    <t>Revenue at Risk (RaR) due to FX</t>
  </si>
  <si>
    <t>Revenue Concentration by Region</t>
  </si>
  <si>
    <t>Current Ratio</t>
  </si>
  <si>
    <t>Foreign Revenue × Expected % Change in FX Rate</t>
  </si>
  <si>
    <t>(Canadian Revenue ÷ Total Revenue) × 100</t>
  </si>
  <si>
    <t>Current Assets ÷ Current Liabilities</t>
  </si>
  <si>
    <t>Calculation</t>
  </si>
  <si>
    <t>Cost per Hire</t>
  </si>
  <si>
    <t>Total Hiring Costs ÷ Number of Hires</t>
  </si>
  <si>
    <t>% Consultant Salary Cost</t>
  </si>
  <si>
    <t>Consultant Salaries ÷ Total Cost</t>
  </si>
  <si>
    <t>Cost per hire &lt;$4,000 suggests poor investment in quality hiring. Adequate investment can help in reducing profit delays, prolonged engagement of staff, and strained client relations</t>
  </si>
  <si>
    <t>Quantifies exposure to currency risk. Top Talent can consider investing in hedging instruments for better protection against FX variation</t>
  </si>
  <si>
    <t>&gt;25–30% Canadian revenue indicates exposure to Canadian regulatory/tax changes. Need to explore diversification options in other markets</t>
  </si>
  <si>
    <t>Low salary allocation (&lt;10%) implies over-dependence on specific personnel or systems. HR must perform competitor analysis to guage the market and set competitive pays</t>
  </si>
  <si>
    <t>Current ratio &lt;1 shows liquidity stress.
0.41 indicates high risk of failing to meet short-term obligations. Company must improve account receivable cycle to enhance liquidity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</si>
</sst>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0" fillId="0" borderId="1" xfId="2" applyNumberFormat="1" applyFont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topLeftCell="A3" workbookViewId="0">
      <selection activeCell="H6" sqref="H6"/>
    </sheetView>
  </sheetViews>
  <sheetFormatPr defaultRowHeight="15" x14ac:dyDescent="0.25"/>
  <cols>
    <col min="1" max="1" width="27.85546875" style="1" customWidth="1"/>
    <col min="2" max="2" width="23.140625" style="1" customWidth="1"/>
    <col min="3" max="3" width="38.85546875" style="1" customWidth="1"/>
    <col min="4" max="4" width="14" style="10" bestFit="1" customWidth="1"/>
    <col min="5" max="5" width="41.85546875" style="1" customWidth="1"/>
  </cols>
  <sheetData>
    <row r="1" spans="1:5" ht="37.5" x14ac:dyDescent="0.25">
      <c r="A1" s="2" t="s">
        <v>0</v>
      </c>
      <c r="B1" s="2" t="s">
        <v>1</v>
      </c>
      <c r="C1" s="2" t="s">
        <v>2</v>
      </c>
      <c r="D1" s="6" t="s">
        <v>15</v>
      </c>
      <c r="E1" s="2" t="s">
        <v>3</v>
      </c>
    </row>
    <row r="2" spans="1:5" ht="75" x14ac:dyDescent="0.25">
      <c r="A2" s="4" t="s">
        <v>4</v>
      </c>
      <c r="B2" s="4" t="s">
        <v>16</v>
      </c>
      <c r="C2" s="4" t="s">
        <v>17</v>
      </c>
      <c r="D2" s="5">
        <f>10000/5</f>
        <v>2000</v>
      </c>
      <c r="E2" s="3" t="s">
        <v>20</v>
      </c>
    </row>
    <row r="3" spans="1:5" ht="60" x14ac:dyDescent="0.25">
      <c r="A3" s="4" t="s">
        <v>5</v>
      </c>
      <c r="B3" s="4" t="s">
        <v>9</v>
      </c>
      <c r="C3" s="4" t="s">
        <v>12</v>
      </c>
      <c r="D3" s="5">
        <f>800000*0.15</f>
        <v>120000</v>
      </c>
      <c r="E3" s="3" t="s">
        <v>21</v>
      </c>
    </row>
    <row r="4" spans="1:5" ht="60" x14ac:dyDescent="0.25">
      <c r="A4" s="4" t="s">
        <v>6</v>
      </c>
      <c r="B4" s="4" t="s">
        <v>10</v>
      </c>
      <c r="C4" s="4" t="s">
        <v>13</v>
      </c>
      <c r="D4" s="7">
        <f>(800000/1330000)*100</f>
        <v>60.150375939849624</v>
      </c>
      <c r="E4" s="3" t="s">
        <v>22</v>
      </c>
    </row>
    <row r="5" spans="1:5" ht="75" x14ac:dyDescent="0.25">
      <c r="A5" s="4" t="s">
        <v>7</v>
      </c>
      <c r="B5" s="4" t="s">
        <v>18</v>
      </c>
      <c r="C5" s="4" t="s">
        <v>19</v>
      </c>
      <c r="D5" s="8">
        <f>35000/615000</f>
        <v>5.6910569105691054E-2</v>
      </c>
      <c r="E5" s="3" t="s">
        <v>23</v>
      </c>
    </row>
    <row r="6" spans="1:5" ht="75" x14ac:dyDescent="0.25">
      <c r="A6" s="4" t="s">
        <v>8</v>
      </c>
      <c r="B6" s="4" t="s">
        <v>11</v>
      </c>
      <c r="C6" s="4" t="s">
        <v>14</v>
      </c>
      <c r="D6" s="9">
        <v>0.41</v>
      </c>
      <c r="E6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Ayesha Younis</cp:lastModifiedBy>
  <dcterms:created xsi:type="dcterms:W3CDTF">2025-04-02T11:56:51Z</dcterms:created>
  <dcterms:modified xsi:type="dcterms:W3CDTF">2025-04-10T15:07:32Z</dcterms:modified>
</cp:coreProperties>
</file>