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ebextensions/webextension1.xml" ContentType="application/vnd.ms-office.webextension+xml"/>
  <Override PartName="/xl/calcChain.xml" ContentType="application/vnd.openxmlformats-officedocument.spreadsheetml.calcChain+xml"/>
  <Override PartName="/xl/webextensions/taskpanes.xml" ContentType="application/vnd.ms-office.webextensiontaskpanes+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F851F0C-257B-4A76-B5BA-C62BDBAD217C}" xr6:coauthVersionLast="47" xr6:coauthVersionMax="47" xr10:uidLastSave="{00000000-0000-0000-0000-000000000000}"/>
  <bookViews>
    <workbookView xWindow="-120" yWindow="-120" windowWidth="20730" windowHeight="11040" activeTab="1" xr2:uid="{00000000-000D-0000-FFFF-FFFF00000000}"/>
  </bookViews>
  <sheets>
    <sheet name="Data" sheetId="1" r:id="rId1"/>
    <sheet name="Char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2" l="1" a="1"/>
  <c r="A29" i="2" s="1"/>
  <c r="A11" i="1" a="1"/>
  <c r="A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<sst xmlns="http://schemas.openxmlformats.org/spreadsheetml/2006/main" count="13" uniqueCount="13">
  <si>
    <t>Ratio or Figure</t>
  </si>
  <si>
    <t>2024</t>
  </si>
  <si>
    <t>2023</t>
  </si>
  <si>
    <t>2022</t>
  </si>
  <si>
    <t>Gross Profit Margin</t>
  </si>
  <si>
    <t>Operating Profit Margin (EBIT Margin)</t>
  </si>
  <si>
    <t>Net Profit Margin</t>
  </si>
  <si>
    <t>Current Ratio</t>
  </si>
  <si>
    <t>Debt-to-Equity Ratio</t>
  </si>
  <si>
    <t>Revenue Per Employee</t>
  </si>
  <si>
    <t>Interest Coverage Ratio</t>
  </si>
  <si>
    <t>Effective Tax Rate</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</si>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</sst>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8">
    <xf numFmtId="0" fontId="0" fillId="0" borderId="0" xfId="0"/>
    <xf numFmtId="0" fontId="1" fillId="0" borderId="1" xfId="0" applyFont="1" applyBorder="1" applyAlignment="1">
      <alignment horizontal="center" vertical="top"/>
    </xf>
    <xf numFmtId="0" fontId="1" fillId="0" borderId="0" xfId="0" applyFont="1"/>
    <xf numFmtId="9" fontId="0" fillId="0" borderId="0" xfId="2" applyFont="1"/>
    <xf numFmtId="2" fontId="0" fillId="0" borderId="0" xfId="0" applyNumberFormat="1"/>
    <xf numFmtId="44" fontId="0" fillId="0" borderId="0" xfId="1" applyFont="1"/>
    <xf numFmtId="0" fontId="0" fillId="0" borderId="0" xfId="0" applyAlignment="1">
      <alignment horizontal="left" vertical="top" wrapText="1"/>
    </xf>
    <xf numFmtId="0" fontId="3" fillId="0" borderId="0" xfId="0" applyFont="1"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PROFITABILITY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Data!$A$2</c:f>
              <c:strCache>
                <c:ptCount val="1"/>
                <c:pt idx="0">
                  <c:v>Gross Profit Margin</c:v>
                </c:pt>
              </c:strCache>
            </c:strRef>
          </c:tx>
          <c:spPr>
            <a:solidFill>
              <a:schemeClr val="accent5">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Data!$B$1:$D$1</c:f>
              <c:strCache>
                <c:ptCount val="3"/>
                <c:pt idx="0">
                  <c:v>2024</c:v>
                </c:pt>
                <c:pt idx="1">
                  <c:v>2023</c:v>
                </c:pt>
                <c:pt idx="2">
                  <c:v>2022</c:v>
                </c:pt>
              </c:strCache>
            </c:strRef>
          </c:cat>
          <c:val>
            <c:numRef>
              <c:f>Data!$B$2:$D$2</c:f>
              <c:numCache>
                <c:formatCode>0%</c:formatCode>
                <c:ptCount val="3"/>
                <c:pt idx="0">
                  <c:v>0.53759398496240607</c:v>
                </c:pt>
                <c:pt idx="1">
                  <c:v>0.51030927835051543</c:v>
                </c:pt>
                <c:pt idx="2">
                  <c:v>0.56000000000000005</c:v>
                </c:pt>
              </c:numCache>
            </c:numRef>
          </c:val>
          <c:extLst>
            <c:ext xmlns:c16="http://schemas.microsoft.com/office/drawing/2014/chart" uri="{C3380CC4-5D6E-409C-BE32-E72D297353CC}">
              <c16:uniqueId val="{00000000-6B72-4B35-9BB7-1400466D0D4F}"/>
            </c:ext>
          </c:extLst>
        </c:ser>
        <c:ser>
          <c:idx val="1"/>
          <c:order val="1"/>
          <c:tx>
            <c:strRef>
              <c:f>Data!$A$3</c:f>
              <c:strCache>
                <c:ptCount val="1"/>
                <c:pt idx="0">
                  <c:v>Operating Profit Margin (EBIT Margin)</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Data!$B$1:$D$1</c:f>
              <c:strCache>
                <c:ptCount val="3"/>
                <c:pt idx="0">
                  <c:v>2024</c:v>
                </c:pt>
                <c:pt idx="1">
                  <c:v>2023</c:v>
                </c:pt>
                <c:pt idx="2">
                  <c:v>2022</c:v>
                </c:pt>
              </c:strCache>
            </c:strRef>
          </c:cat>
          <c:val>
            <c:numRef>
              <c:f>Data!$B$3:$D$3</c:f>
              <c:numCache>
                <c:formatCode>0%</c:formatCode>
                <c:ptCount val="3"/>
                <c:pt idx="0">
                  <c:v>0.39548872180451128</c:v>
                </c:pt>
                <c:pt idx="1">
                  <c:v>0.38350515463917528</c:v>
                </c:pt>
                <c:pt idx="2">
                  <c:v>0.42428571428571427</c:v>
                </c:pt>
              </c:numCache>
            </c:numRef>
          </c:val>
          <c:extLst>
            <c:ext xmlns:c16="http://schemas.microsoft.com/office/drawing/2014/chart" uri="{C3380CC4-5D6E-409C-BE32-E72D297353CC}">
              <c16:uniqueId val="{00000003-6B72-4B35-9BB7-1400466D0D4F}"/>
            </c:ext>
          </c:extLst>
        </c:ser>
        <c:ser>
          <c:idx val="2"/>
          <c:order val="2"/>
          <c:tx>
            <c:strRef>
              <c:f>Data!$A$4</c:f>
              <c:strCache>
                <c:ptCount val="1"/>
                <c:pt idx="0">
                  <c:v>Net Profit Margin</c:v>
                </c:pt>
              </c:strCache>
            </c:strRef>
          </c:tx>
          <c:spPr>
            <a:solidFill>
              <a:schemeClr val="accent5">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Data!$B$1:$D$1</c:f>
              <c:strCache>
                <c:ptCount val="3"/>
                <c:pt idx="0">
                  <c:v>2024</c:v>
                </c:pt>
                <c:pt idx="1">
                  <c:v>2023</c:v>
                </c:pt>
                <c:pt idx="2">
                  <c:v>2022</c:v>
                </c:pt>
              </c:strCache>
            </c:strRef>
          </c:cat>
          <c:val>
            <c:numRef>
              <c:f>Data!$B$4:$D$4</c:f>
              <c:numCache>
                <c:formatCode>0%</c:formatCode>
                <c:ptCount val="3"/>
                <c:pt idx="0">
                  <c:v>0.60150375939849621</c:v>
                </c:pt>
                <c:pt idx="1">
                  <c:v>0.57731958762886593</c:v>
                </c:pt>
                <c:pt idx="2">
                  <c:v>0.38142857142857145</c:v>
                </c:pt>
              </c:numCache>
            </c:numRef>
          </c:val>
          <c:extLst>
            <c:ext xmlns:c16="http://schemas.microsoft.com/office/drawing/2014/chart" uri="{C3380CC4-5D6E-409C-BE32-E72D297353CC}">
              <c16:uniqueId val="{00000004-6B72-4B35-9BB7-1400466D0D4F}"/>
            </c:ext>
          </c:extLst>
        </c:ser>
        <c:dLbls>
          <c:dLblPos val="outEnd"/>
          <c:showLegendKey val="0"/>
          <c:showVal val="1"/>
          <c:showCatName val="0"/>
          <c:showSerName val="0"/>
          <c:showPercent val="0"/>
          <c:showBubbleSize val="0"/>
        </c:dLbls>
        <c:gapWidth val="444"/>
        <c:overlap val="-90"/>
        <c:axId val="50010001"/>
        <c:axId val="50010002"/>
      </c:barChart>
      <c:catAx>
        <c:axId val="5001000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5001000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LIQUIDITY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Current Ratio</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Data!$B$1:$D$1</c:f>
              <c:strCache>
                <c:ptCount val="3"/>
                <c:pt idx="0">
                  <c:v>2024</c:v>
                </c:pt>
                <c:pt idx="1">
                  <c:v>2023</c:v>
                </c:pt>
                <c:pt idx="2">
                  <c:v>2022</c:v>
                </c:pt>
              </c:strCache>
            </c:strRef>
          </c:cat>
          <c:val>
            <c:numRef>
              <c:f>Data!$B$5:$D$5</c:f>
              <c:numCache>
                <c:formatCode>0.00</c:formatCode>
                <c:ptCount val="3"/>
                <c:pt idx="0">
                  <c:v>0.41304347826086957</c:v>
                </c:pt>
                <c:pt idx="1">
                  <c:v>0.5482758620689655</c:v>
                </c:pt>
                <c:pt idx="2">
                  <c:v>0.58857142857142852</c:v>
                </c:pt>
              </c:numCache>
            </c:numRef>
          </c:val>
          <c:extLst>
            <c:ext xmlns:c16="http://schemas.microsoft.com/office/drawing/2014/chart" uri="{C3380CC4-5D6E-409C-BE32-E72D297353CC}">
              <c16:uniqueId val="{00000000-5AAA-449E-91E7-D0F0EAF96FEB}"/>
            </c:ext>
          </c:extLst>
        </c:ser>
        <c:dLbls>
          <c:dLblPos val="outEnd"/>
          <c:showLegendKey val="0"/>
          <c:showVal val="1"/>
          <c:showCatName val="0"/>
          <c:showSerName val="0"/>
          <c:showPercent val="0"/>
          <c:showBubbleSize val="0"/>
        </c:dLbls>
        <c:gapWidth val="444"/>
        <c:overlap val="-90"/>
        <c:axId val="50040001"/>
        <c:axId val="50040002"/>
      </c:barChart>
      <c:catAx>
        <c:axId val="5004000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040002"/>
        <c:crosses val="autoZero"/>
        <c:auto val="1"/>
        <c:lblAlgn val="ctr"/>
        <c:lblOffset val="100"/>
        <c:noMultiLvlLbl val="0"/>
      </c:catAx>
      <c:valAx>
        <c:axId val="5004000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5004000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Debt-to-Equity Ratio</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v>Debt-to-Equity Ratio</c:v>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Data!$B$1:$D$1</c:f>
              <c:strCache>
                <c:ptCount val="3"/>
                <c:pt idx="0">
                  <c:v>2024</c:v>
                </c:pt>
                <c:pt idx="1">
                  <c:v>2023</c:v>
                </c:pt>
                <c:pt idx="2">
                  <c:v>2022</c:v>
                </c:pt>
              </c:strCache>
            </c:strRef>
          </c:cat>
          <c:val>
            <c:numRef>
              <c:f>Data!$B$6:$D$6</c:f>
              <c:numCache>
                <c:formatCode>0.00</c:formatCode>
                <c:ptCount val="3"/>
                <c:pt idx="0">
                  <c:v>0.83333333333333337</c:v>
                </c:pt>
                <c:pt idx="1">
                  <c:v>1.1627906976744187</c:v>
                </c:pt>
                <c:pt idx="2">
                  <c:v>0.91192170818505336</c:v>
                </c:pt>
              </c:numCache>
            </c:numRef>
          </c:val>
          <c:smooth val="0"/>
          <c:extLst>
            <c:ext xmlns:c16="http://schemas.microsoft.com/office/drawing/2014/chart" uri="{C3380CC4-5D6E-409C-BE32-E72D297353CC}">
              <c16:uniqueId val="{00000000-D891-4F08-A88C-5488B7FB785A}"/>
            </c:ext>
          </c:extLst>
        </c:ser>
        <c:dLbls>
          <c:dLblPos val="ctr"/>
          <c:showLegendKey val="0"/>
          <c:showVal val="1"/>
          <c:showCatName val="0"/>
          <c:showSerName val="0"/>
          <c:showPercent val="0"/>
          <c:showBubbleSize val="0"/>
        </c:dLbls>
        <c:marker val="1"/>
        <c:smooth val="0"/>
        <c:axId val="50050001"/>
        <c:axId val="50050002"/>
      </c:lineChart>
      <c:catAx>
        <c:axId val="5005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0050002"/>
        <c:crosses val="autoZero"/>
        <c:auto val="1"/>
        <c:lblAlgn val="ctr"/>
        <c:lblOffset val="100"/>
        <c:noMultiLvlLbl val="0"/>
      </c:catAx>
      <c:valAx>
        <c:axId val="50050002"/>
        <c:scaling>
          <c:orientation val="minMax"/>
        </c:scaling>
        <c:delete val="1"/>
        <c:axPos val="l"/>
        <c:numFmt formatCode="0.00" sourceLinked="1"/>
        <c:majorTickMark val="none"/>
        <c:minorTickMark val="none"/>
        <c:tickLblPos val="nextTo"/>
        <c:crossAx val="5005000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Revenue Per Employee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v>Revenue Per Employee</c:v>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Data!$B$1:$D$1</c:f>
              <c:strCache>
                <c:ptCount val="3"/>
                <c:pt idx="0">
                  <c:v>2024</c:v>
                </c:pt>
                <c:pt idx="1">
                  <c:v>2023</c:v>
                </c:pt>
                <c:pt idx="2">
                  <c:v>2022</c:v>
                </c:pt>
              </c:strCache>
            </c:strRef>
          </c:cat>
          <c:val>
            <c:numRef>
              <c:f>Data!$B$7:$D$7</c:f>
              <c:numCache>
                <c:formatCode>_("$"* #,##0.00_);_("$"* \(#,##0.00\);_("$"* "-"??_);_(@_)</c:formatCode>
                <c:ptCount val="3"/>
                <c:pt idx="0">
                  <c:v>88666.666666666672</c:v>
                </c:pt>
                <c:pt idx="1">
                  <c:v>80833.333333333328</c:v>
                </c:pt>
                <c:pt idx="2">
                  <c:v>87500</c:v>
                </c:pt>
              </c:numCache>
            </c:numRef>
          </c:val>
          <c:smooth val="0"/>
          <c:extLst>
            <c:ext xmlns:c16="http://schemas.microsoft.com/office/drawing/2014/chart" uri="{C3380CC4-5D6E-409C-BE32-E72D297353CC}">
              <c16:uniqueId val="{00000000-E2C5-4A34-AFB9-386313EAAA8E}"/>
            </c:ext>
          </c:extLst>
        </c:ser>
        <c:dLbls>
          <c:dLblPos val="ctr"/>
          <c:showLegendKey val="0"/>
          <c:showVal val="1"/>
          <c:showCatName val="0"/>
          <c:showSerName val="0"/>
          <c:showPercent val="0"/>
          <c:showBubbleSize val="0"/>
        </c:dLbls>
        <c:marker val="1"/>
        <c:smooth val="0"/>
        <c:axId val="50060001"/>
        <c:axId val="50060002"/>
      </c:lineChart>
      <c:catAx>
        <c:axId val="5006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0060002"/>
        <c:crosses val="autoZero"/>
        <c:auto val="1"/>
        <c:lblAlgn val="ctr"/>
        <c:lblOffset val="100"/>
        <c:noMultiLvlLbl val="0"/>
      </c:catAx>
      <c:valAx>
        <c:axId val="50060002"/>
        <c:scaling>
          <c:orientation val="minMax"/>
        </c:scaling>
        <c:delete val="1"/>
        <c:axPos val="l"/>
        <c:numFmt formatCode="_(&quot;$&quot;* #,##0.00_);_(&quot;$&quot;* \(#,##0.00\);_(&quot;$&quot;* &quot;-&quot;??_);_(@_)" sourceLinked="1"/>
        <c:majorTickMark val="none"/>
        <c:minorTickMark val="none"/>
        <c:tickLblPos val="nextTo"/>
        <c:crossAx val="5006000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Interest Coverage Ratio</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v>Interest Coverage Ratio</c:v>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Data!$B$1:$D$1</c:f>
              <c:strCache>
                <c:ptCount val="3"/>
                <c:pt idx="0">
                  <c:v>2024</c:v>
                </c:pt>
                <c:pt idx="1">
                  <c:v>2023</c:v>
                </c:pt>
                <c:pt idx="2">
                  <c:v>2022</c:v>
                </c:pt>
              </c:strCache>
            </c:strRef>
          </c:cat>
          <c:val>
            <c:numRef>
              <c:f>Data!$B$8:$D$8</c:f>
              <c:numCache>
                <c:formatCode>0.00</c:formatCode>
                <c:ptCount val="3"/>
                <c:pt idx="0">
                  <c:v>16.533333333333335</c:v>
                </c:pt>
                <c:pt idx="1">
                  <c:v>13.88</c:v>
                </c:pt>
                <c:pt idx="2">
                  <c:v>18.8</c:v>
                </c:pt>
              </c:numCache>
            </c:numRef>
          </c:val>
          <c:smooth val="0"/>
          <c:extLst>
            <c:ext xmlns:c16="http://schemas.microsoft.com/office/drawing/2014/chart" uri="{C3380CC4-5D6E-409C-BE32-E72D297353CC}">
              <c16:uniqueId val="{00000000-B099-42FD-BA3B-EF8150D046C0}"/>
            </c:ext>
          </c:extLst>
        </c:ser>
        <c:dLbls>
          <c:dLblPos val="ctr"/>
          <c:showLegendKey val="0"/>
          <c:showVal val="1"/>
          <c:showCatName val="0"/>
          <c:showSerName val="0"/>
          <c:showPercent val="0"/>
          <c:showBubbleSize val="0"/>
        </c:dLbls>
        <c:marker val="1"/>
        <c:smooth val="0"/>
        <c:axId val="50070001"/>
        <c:axId val="50070002"/>
      </c:lineChart>
      <c:catAx>
        <c:axId val="5007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0070002"/>
        <c:crosses val="autoZero"/>
        <c:auto val="1"/>
        <c:lblAlgn val="ctr"/>
        <c:lblOffset val="100"/>
        <c:noMultiLvlLbl val="0"/>
      </c:catAx>
      <c:valAx>
        <c:axId val="50070002"/>
        <c:scaling>
          <c:orientation val="minMax"/>
        </c:scaling>
        <c:delete val="1"/>
        <c:axPos val="l"/>
        <c:numFmt formatCode="0.00" sourceLinked="1"/>
        <c:majorTickMark val="none"/>
        <c:minorTickMark val="none"/>
        <c:tickLblPos val="nextTo"/>
        <c:crossAx val="5007000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Effective Tax Rate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v>Effective Tax Rate</c:v>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Data!$B$1:$D$1</c:f>
              <c:strCache>
                <c:ptCount val="3"/>
                <c:pt idx="0">
                  <c:v>2024</c:v>
                </c:pt>
                <c:pt idx="1">
                  <c:v>2023</c:v>
                </c:pt>
                <c:pt idx="2">
                  <c:v>2022</c:v>
                </c:pt>
              </c:strCache>
            </c:strRef>
          </c:cat>
          <c:val>
            <c:numRef>
              <c:f>Data!$B$9:$D$9</c:f>
              <c:numCache>
                <c:formatCode>0%</c:formatCode>
                <c:ptCount val="3"/>
                <c:pt idx="0">
                  <c:v>6.0483870967741937E-2</c:v>
                </c:pt>
                <c:pt idx="1">
                  <c:v>8.069164265129683E-2</c:v>
                </c:pt>
                <c:pt idx="2">
                  <c:v>5.3191489361702128E-2</c:v>
                </c:pt>
              </c:numCache>
            </c:numRef>
          </c:val>
          <c:smooth val="0"/>
          <c:extLst>
            <c:ext xmlns:c16="http://schemas.microsoft.com/office/drawing/2014/chart" uri="{C3380CC4-5D6E-409C-BE32-E72D297353CC}">
              <c16:uniqueId val="{00000000-8010-4CD9-B56D-65BA1194A950}"/>
            </c:ext>
          </c:extLst>
        </c:ser>
        <c:dLbls>
          <c:dLblPos val="ctr"/>
          <c:showLegendKey val="0"/>
          <c:showVal val="1"/>
          <c:showCatName val="0"/>
          <c:showSerName val="0"/>
          <c:showPercent val="0"/>
          <c:showBubbleSize val="0"/>
        </c:dLbls>
        <c:marker val="1"/>
        <c:smooth val="0"/>
        <c:axId val="50080001"/>
        <c:axId val="50080002"/>
      </c:lineChart>
      <c:catAx>
        <c:axId val="5008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0080002"/>
        <c:crosses val="autoZero"/>
        <c:auto val="1"/>
        <c:lblAlgn val="ctr"/>
        <c:lblOffset val="100"/>
        <c:noMultiLvlLbl val="0"/>
      </c:catAx>
      <c:valAx>
        <c:axId val="50080002"/>
        <c:scaling>
          <c:orientation val="minMax"/>
        </c:scaling>
        <c:delete val="1"/>
        <c:axPos val="l"/>
        <c:numFmt formatCode="0%" sourceLinked="1"/>
        <c:majorTickMark val="none"/>
        <c:minorTickMark val="none"/>
        <c:tickLblPos val="nextTo"/>
        <c:crossAx val="5008000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microsoft.com/office/2011/relationships/webextension" Target="../webextensions/webextension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176893</xdr:colOff>
      <xdr:row>0</xdr:row>
      <xdr:rowOff>68036</xdr:rowOff>
    </xdr:from>
    <xdr:to>
      <xdr:col>10</xdr:col>
      <xdr:colOff>414799</xdr:colOff>
      <xdr:row>14</xdr:row>
      <xdr:rowOff>144236</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601436</xdr:colOff>
      <xdr:row>0</xdr:row>
      <xdr:rowOff>79887</xdr:rowOff>
    </xdr:from>
    <xdr:to>
      <xdr:col>18</xdr:col>
      <xdr:colOff>296636</xdr:colOff>
      <xdr:row>14</xdr:row>
      <xdr:rowOff>156087</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606528</xdr:colOff>
      <xdr:row>15</xdr:row>
      <xdr:rowOff>117987</xdr:rowOff>
    </xdr:from>
    <xdr:to>
      <xdr:col>12</xdr:col>
      <xdr:colOff>184355</xdr:colOff>
      <xdr:row>26</xdr:row>
      <xdr:rowOff>76814</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43</xdr:row>
      <xdr:rowOff>152400</xdr:rowOff>
    </xdr:from>
    <xdr:to>
      <xdr:col>18</xdr:col>
      <xdr:colOff>447675</xdr:colOff>
      <xdr:row>51</xdr:row>
      <xdr:rowOff>76200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265882</xdr:colOff>
      <xdr:row>15</xdr:row>
      <xdr:rowOff>111125</xdr:rowOff>
    </xdr:from>
    <xdr:to>
      <xdr:col>18</xdr:col>
      <xdr:colOff>414800</xdr:colOff>
      <xdr:row>26</xdr:row>
      <xdr:rowOff>92177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177903</xdr:colOff>
      <xdr:row>15</xdr:row>
      <xdr:rowOff>121265</xdr:rowOff>
    </xdr:from>
    <xdr:to>
      <xdr:col>5</xdr:col>
      <xdr:colOff>522339</xdr:colOff>
      <xdr:row>26</xdr:row>
      <xdr:rowOff>107540</xdr:rowOff>
    </xdr:to>
    <xdr:graphicFrame macro="">
      <xdr:nvGraphicFramePr>
        <xdr:cNvPr id="10" name="Chart 9">
          <a:extLst>
            <a:ext uri="{FF2B5EF4-FFF2-40B4-BE49-F238E27FC236}">
              <a16:creationId xmlns:a16="http://schemas.microsoft.com/office/drawing/2014/main" id="{85F63B4A-05F2-4D53-8871-36B28EE7E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384073</xdr:colOff>
      <xdr:row>26</xdr:row>
      <xdr:rowOff>153629</xdr:rowOff>
    </xdr:from>
    <xdr:to>
      <xdr:col>18</xdr:col>
      <xdr:colOff>491612</xdr:colOff>
      <xdr:row>43</xdr:row>
      <xdr:rowOff>92176</xdr:rowOff>
    </xdr:to>
    <mc:AlternateContent xmlns:mc="http://schemas.openxmlformats.org/markup-compatibility/2006">
      <mc:Choice xmlns:we="http://schemas.microsoft.com/office/webextensions/webextension/2010/11" Requires="we">
        <xdr:graphicFrame macro="">
          <xdr:nvGraphicFramePr>
            <xdr:cNvPr id="11" name="Add-in 10">
              <a:extLst>
                <a:ext uri="{FF2B5EF4-FFF2-40B4-BE49-F238E27FC236}">
                  <a16:creationId xmlns:a16="http://schemas.microsoft.com/office/drawing/2014/main" id="{AD87CEE3-38D7-190C-A74A-BDC5C7FFDCBE}"/>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7"/>
            </a:graphicData>
          </a:graphic>
        </xdr:graphicFrame>
      </mc:Choice>
      <mc:Fallback>
        <xdr:pic>
          <xdr:nvPicPr>
            <xdr:cNvPr id="11" name="Add-in 10">
              <a:extLst>
                <a:ext uri="{FF2B5EF4-FFF2-40B4-BE49-F238E27FC236}">
                  <a16:creationId xmlns:a16="http://schemas.microsoft.com/office/drawing/2014/main" id="{AD87CEE3-38D7-190C-A74A-BDC5C7FFDCBE}"/>
                </a:ext>
              </a:extLst>
            </xdr:cNvPr>
            <xdr:cNvPicPr/>
          </xdr:nvPicPr>
          <xdr:blipFill>
            <a:blip xmlns:r="http://schemas.openxmlformats.org/officeDocument/2006/relationships" r:embed="rId8"/>
            <a:stretch>
              <a:fillRect/>
            </a:stretch>
          </xdr:blipFill>
          <xdr:spPr>
            <a:prstGeom prst="rect">
              <a:avLst/>
            </a:prstGeom>
          </xdr:spPr>
        </xdr:pic>
      </mc:Fallback>
    </mc:AlternateContent>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2.xml"/></Relationships>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87CEE3-38D7-190C-A74A-BDC5C7FFDCBE}">
  <we:reference id="wa104104476" version="1.6.0.0" store="en-US" storeType="OMEX"/>
  <we:alternateReferences>
    <we:reference id="WA104104476" version="1.6.0.0" store="" storeType="OMEX"/>
  </we:alternateReferences>
  <we:properties>
    <we:property name="sku" value="&quot;peoplebar-giant&quot;"/>
    <we:property name="theme" value="&quot;giant-yellowblue&quot;"/>
    <we:property name="shape" value="&quot;muscle-people&quot;"/>
    <we:property name="layout-element-title" value="&quot;Employee Count&quot;"/>
  </we:properties>
  <we:bindings>
    <we:binding id="dataVizBinding" type="matrix" appref="{8668CF3F-B803-4EF3-B3D1-B77550CD3F40}"/>
  </we:bindings>
  <we:snapshot xmlns:r="http://schemas.openxmlformats.org/officeDocument/2006/relationships" r:embed="rId1"/>
</we:webextension>
</file>

<file path=xl/webextensions/webextension2.xml><?xml version="1.0" encoding="utf-8"?>
<we:webextension xmlns:we="http://schemas.microsoft.com/office/webextensions/webextension/2010/11" id="{860BEC88-5FF8-487D-AFDD-AD19EA40F8C9}">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workbookViewId="0">
      <selection activeCell="E9" sqref="E9"/>
    </sheetView>
  </sheetViews>
  <sheetFormatPr defaultRowHeight="15" x14ac:dyDescent="0.25"/>
  <cols>
    <col min="1" max="1" width="34.85546875" bestFit="1" customWidth="1"/>
    <col min="2" max="4" width="11.5703125" bestFit="1" customWidth="1"/>
    <col min="6" max="6" width="22.85546875" customWidth="1"/>
  </cols>
  <sheetData>
    <row r="1" spans="1:9" x14ac:dyDescent="0.25">
      <c r="A1" s="1" t="s">
        <v>0</v>
      </c>
      <c r="B1" s="1" t="s">
        <v>1</v>
      </c>
      <c r="C1" s="1" t="s">
        <v>2</v>
      </c>
      <c r="D1" s="1" t="s">
        <v>3</v>
      </c>
    </row>
    <row r="2" spans="1:9" x14ac:dyDescent="0.25">
      <c r="A2" t="s">
        <v>4</v>
      </c>
      <c r="B2" s="3">
        <v>0.53759398496240607</v>
      </c>
      <c r="C2" s="3">
        <v>0.51030927835051543</v>
      </c>
      <c r="D2" s="3">
        <v>0.56000000000000005</v>
      </c>
      <c r="G2" s="3"/>
      <c r="H2" s="3"/>
      <c r="I2" s="3"/>
    </row>
    <row r="3" spans="1:9" x14ac:dyDescent="0.25">
      <c r="A3" t="s">
        <v>5</v>
      </c>
      <c r="B3" s="3">
        <v>0.39548872180451128</v>
      </c>
      <c r="C3" s="3">
        <v>0.38350515463917528</v>
      </c>
      <c r="D3" s="3">
        <v>0.42428571428571427</v>
      </c>
      <c r="G3" s="3"/>
      <c r="H3" s="3"/>
      <c r="I3" s="3"/>
    </row>
    <row r="4" spans="1:9" x14ac:dyDescent="0.25">
      <c r="A4" t="s">
        <v>6</v>
      </c>
      <c r="B4" s="3">
        <v>0.60150375939849621</v>
      </c>
      <c r="C4" s="3">
        <v>0.57731958762886593</v>
      </c>
      <c r="D4" s="3">
        <v>0.38142857142857145</v>
      </c>
      <c r="G4" s="3"/>
      <c r="H4" s="3"/>
      <c r="I4" s="3"/>
    </row>
    <row r="5" spans="1:9" x14ac:dyDescent="0.25">
      <c r="A5" t="s">
        <v>7</v>
      </c>
      <c r="B5" s="4">
        <v>0.41304347826086957</v>
      </c>
      <c r="C5" s="4">
        <v>0.5482758620689655</v>
      </c>
      <c r="D5" s="4">
        <v>0.58857142857142852</v>
      </c>
      <c r="G5" s="4"/>
      <c r="H5" s="4"/>
      <c r="I5" s="4"/>
    </row>
    <row r="6" spans="1:9" x14ac:dyDescent="0.25">
      <c r="A6" t="s">
        <v>8</v>
      </c>
      <c r="B6" s="4">
        <v>0.83333333333333337</v>
      </c>
      <c r="C6" s="4">
        <v>1.1627906976744187</v>
      </c>
      <c r="D6" s="4">
        <v>0.91192170818505336</v>
      </c>
      <c r="G6" s="4"/>
      <c r="H6" s="4"/>
      <c r="I6" s="4"/>
    </row>
    <row r="7" spans="1:9" x14ac:dyDescent="0.25">
      <c r="A7" t="s">
        <v>9</v>
      </c>
      <c r="B7" s="5">
        <v>88666.666666666672</v>
      </c>
      <c r="C7" s="5">
        <v>80833.333333333328</v>
      </c>
      <c r="D7" s="5">
        <v>87500</v>
      </c>
    </row>
    <row r="8" spans="1:9" x14ac:dyDescent="0.25">
      <c r="A8" t="s">
        <v>10</v>
      </c>
      <c r="B8" s="4">
        <v>16.533333333333335</v>
      </c>
      <c r="C8" s="4">
        <v>13.88</v>
      </c>
      <c r="D8" s="4">
        <v>18.8</v>
      </c>
      <c r="G8" s="4"/>
      <c r="H8" s="4"/>
      <c r="I8" s="4"/>
    </row>
    <row r="9" spans="1:9" x14ac:dyDescent="0.25">
      <c r="A9" t="s">
        <v>11</v>
      </c>
      <c r="B9" s="3">
        <v>6.0483870967741937E-2</v>
      </c>
      <c r="C9" s="3">
        <v>8.069164265129683E-2</v>
      </c>
      <c r="D9" s="3">
        <v>5.3191489361702128E-2</v>
      </c>
      <c r="G9" s="3"/>
      <c r="H9" s="3"/>
      <c r="I9" s="3"/>
    </row>
    <row r="11" spans="1:9" x14ac:dyDescent="0.25">
      <c r="A11" s="6" t="str" cm="1">
        <f t="array" ref="A11">_xldudf_AI_ASK("extract top five insights from this table", A1:D9)</f>
        <v>1. **Gross Profit Margin Improvement**: The gross profit margin increased from 51.03% in 2023 to 53.76% in 2024, indicating better cost management or pricing strategies.
2. **Net Profit Margin Growth**: The net profit margin rose significantly from 57.73% in 2023 to 60.15% in 2024, suggesting improved overall profitability and efficiency in operations.
3. **Current Ratio Decline**: The current ratio decreased from 0.55 in 2023 to 0.41 in 2024, which may indicate a potential liquidity issue or a reduction in current assets relative to current liabilities.
4. **Debt-to-Equity Ratio Decrease**: The debt-to-equity ratio improved from 1.16 in 2023 to 0.83 in 2024, reflecting a stronger equity position and reduced reliance on debt financing.
5. **Interest Coverage Ratio Increase**: The interest coverage ratio increased from 13.88 in 2023 to 16.53 in 2024, indicating a stronger ability to meet interest obligations, which is a positive sign for financial health.</v>
      </c>
      <c r="B11" s="6"/>
      <c r="C11" s="6"/>
      <c r="D11" s="6"/>
      <c r="E11" s="6"/>
      <c r="F11" s="6"/>
      <c r="G11" s="6"/>
    </row>
    <row r="12" spans="1:9" x14ac:dyDescent="0.25">
      <c r="A12" s="6"/>
      <c r="B12" s="6"/>
      <c r="C12" s="6"/>
      <c r="D12" s="6"/>
      <c r="E12" s="6"/>
      <c r="F12" s="6"/>
      <c r="G12" s="6"/>
    </row>
    <row r="13" spans="1:9" x14ac:dyDescent="0.25">
      <c r="A13" s="6"/>
      <c r="B13" s="6"/>
      <c r="C13" s="6"/>
      <c r="D13" s="6"/>
      <c r="E13" s="6"/>
      <c r="F13" s="6"/>
      <c r="G13" s="6"/>
    </row>
    <row r="14" spans="1:9" x14ac:dyDescent="0.25">
      <c r="A14" s="6"/>
      <c r="B14" s="6"/>
      <c r="C14" s="6"/>
      <c r="D14" s="6"/>
      <c r="E14" s="6"/>
      <c r="F14" s="6"/>
      <c r="G14" s="6"/>
    </row>
    <row r="15" spans="1:9" x14ac:dyDescent="0.25">
      <c r="A15" s="6"/>
      <c r="B15" s="6"/>
      <c r="C15" s="6"/>
      <c r="D15" s="6"/>
      <c r="E15" s="6"/>
      <c r="F15" s="6"/>
      <c r="G15" s="6"/>
    </row>
    <row r="16" spans="1:9" x14ac:dyDescent="0.25">
      <c r="A16" s="6"/>
      <c r="B16" s="6"/>
      <c r="C16" s="6"/>
      <c r="D16" s="6"/>
      <c r="E16" s="6"/>
      <c r="F16" s="6"/>
      <c r="G16" s="6"/>
    </row>
    <row r="17" spans="1:7" x14ac:dyDescent="0.25">
      <c r="A17" s="6"/>
      <c r="B17" s="6"/>
      <c r="C17" s="6"/>
      <c r="D17" s="6"/>
      <c r="E17" s="6"/>
      <c r="F17" s="6"/>
      <c r="G17" s="6"/>
    </row>
    <row r="18" spans="1:7" x14ac:dyDescent="0.25">
      <c r="A18" s="6"/>
      <c r="B18" s="6"/>
      <c r="C18" s="6"/>
      <c r="D18" s="6"/>
      <c r="E18" s="6"/>
      <c r="F18" s="6"/>
      <c r="G18" s="6"/>
    </row>
    <row r="19" spans="1:7" x14ac:dyDescent="0.25">
      <c r="A19" s="6"/>
      <c r="B19" s="6"/>
      <c r="C19" s="6"/>
      <c r="D19" s="6"/>
      <c r="E19" s="6"/>
      <c r="F19" s="6"/>
      <c r="G19" s="6"/>
    </row>
    <row r="20" spans="1:7" x14ac:dyDescent="0.25">
      <c r="A20" s="6"/>
      <c r="B20" s="6"/>
      <c r="C20" s="6"/>
      <c r="D20" s="6"/>
      <c r="E20" s="6"/>
      <c r="F20" s="6"/>
      <c r="G20" s="6"/>
    </row>
    <row r="21" spans="1:7" ht="60" customHeight="1" x14ac:dyDescent="0.25">
      <c r="A21" s="6"/>
      <c r="B21" s="6"/>
      <c r="C21" s="6"/>
      <c r="D21" s="6"/>
      <c r="E21" s="6"/>
      <c r="F21" s="6"/>
      <c r="G21" s="6"/>
    </row>
  </sheetData>
  <mergeCells count="1">
    <mergeCell ref="A11:G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8:Y50"/>
  <sheetViews>
    <sheetView tabSelected="1" zoomScale="57" zoomScaleNormal="57" workbookViewId="0">
      <selection activeCell="A51" sqref="A51"/>
    </sheetView>
  </sheetViews>
  <sheetFormatPr defaultRowHeight="15" x14ac:dyDescent="0.25"/>
  <sheetData>
    <row r="28" spans="1:10" x14ac:dyDescent="0.25">
      <c r="A28" s="2" t="s">
        <v>12</v>
      </c>
    </row>
    <row r="29" spans="1:10" ht="15" customHeight="1" x14ac:dyDescent="0.25">
      <c r="A29" s="7" t="str" cm="1">
        <f t="array" ref="A29">_xldudf_AI_ASK("5 actions the company should do to improve financial health in 2025", Data!A1:D9)</f>
        <v>To improve the financial health of the company in 2025, the following five actions should be considered:
1. **Enhance Gross Profit Margin**: The gross profit margin has decreased from 0.56 in 2022 to 0.5376 in 2025. The company should focus on reducing the cost of goods sold (COGS) through better supplier negotiations, optimizing production processes, and possibly increasing prices where the market allows. This will help improve profitability on sales.
2. **Increase Current Ratio**: The current ratio has dropped significantly from 0.5886 in 2022 to 0.4130 in 2025, indicating potential liquidity issues. The company should work on improving its current assets, possibly by increasing cash reserves or reducing current liabilities. This could involve better inventory management and accounts receivable collection processes.
3. **Reduce Debt-to-Equity Ratio**: The debt-to-equity ratio has improved from 1.1628 in 2024 to 0.8333 in 2025, but further reduction is advisable. The company should aim to pay down debt or increase equity financing to strengthen its balance sheet. This could involve retaining more earnings or issuing new equity if market conditions are favorable.
4. **Boost Revenue Per Employee**: Revenue per employee has increased but is still relatively low at 88,666.67 in 2025 compared to previous years. The company should focus on improving employee productivity through training, better tools, and possibly restructuring teams to ensure that each employee contributes more effectively to revenue generation.
5. **Optimize Tax Strategy**: The effective tax rate has fluctuated, and in 2025 it stands at 0.0605. The company should review its tax strategy to ensure it is taking advantage of all available deductions and credits. This could involve consulting with tax professionals to optimize tax liabilities and improve net profit margins.</v>
      </c>
      <c r="B29" s="7"/>
      <c r="C29" s="7"/>
      <c r="D29" s="7"/>
      <c r="E29" s="7"/>
      <c r="F29" s="7"/>
      <c r="G29" s="7"/>
      <c r="H29" s="7"/>
      <c r="I29" s="7"/>
      <c r="J29" s="7"/>
    </row>
    <row r="30" spans="1:10" x14ac:dyDescent="0.25">
      <c r="A30" s="7"/>
      <c r="B30" s="7"/>
      <c r="C30" s="7"/>
      <c r="D30" s="7"/>
      <c r="E30" s="7"/>
      <c r="F30" s="7"/>
      <c r="G30" s="7"/>
      <c r="H30" s="7"/>
      <c r="I30" s="7"/>
      <c r="J30" s="7"/>
    </row>
    <row r="31" spans="1:10" x14ac:dyDescent="0.25">
      <c r="A31" s="7"/>
      <c r="B31" s="7"/>
      <c r="C31" s="7"/>
      <c r="D31" s="7"/>
      <c r="E31" s="7"/>
      <c r="F31" s="7"/>
      <c r="G31" s="7"/>
      <c r="H31" s="7"/>
      <c r="I31" s="7"/>
      <c r="J31" s="7"/>
    </row>
    <row r="32" spans="1:10" x14ac:dyDescent="0.25">
      <c r="A32" s="7"/>
      <c r="B32" s="7"/>
      <c r="C32" s="7"/>
      <c r="D32" s="7"/>
      <c r="E32" s="7"/>
      <c r="F32" s="7"/>
      <c r="G32" s="7"/>
      <c r="H32" s="7"/>
      <c r="I32" s="7"/>
      <c r="J32" s="7"/>
    </row>
    <row r="33" spans="1:25" x14ac:dyDescent="0.25">
      <c r="A33" s="7"/>
      <c r="B33" s="7"/>
      <c r="C33" s="7"/>
      <c r="D33" s="7"/>
      <c r="E33" s="7"/>
      <c r="F33" s="7"/>
      <c r="G33" s="7"/>
      <c r="H33" s="7"/>
      <c r="I33" s="7"/>
      <c r="J33" s="7"/>
    </row>
    <row r="34" spans="1:25" x14ac:dyDescent="0.25">
      <c r="A34" s="7"/>
      <c r="B34" s="7"/>
      <c r="C34" s="7"/>
      <c r="D34" s="7"/>
      <c r="E34" s="7"/>
      <c r="F34" s="7"/>
      <c r="G34" s="7"/>
      <c r="H34" s="7"/>
      <c r="I34" s="7"/>
      <c r="J34" s="7"/>
    </row>
    <row r="35" spans="1:25" x14ac:dyDescent="0.25">
      <c r="A35" s="7"/>
      <c r="B35" s="7"/>
      <c r="C35" s="7"/>
      <c r="D35" s="7"/>
      <c r="E35" s="7"/>
      <c r="F35" s="7"/>
      <c r="G35" s="7"/>
      <c r="H35" s="7"/>
      <c r="I35" s="7"/>
      <c r="J35" s="7"/>
    </row>
    <row r="36" spans="1:25" x14ac:dyDescent="0.25">
      <c r="A36" s="7"/>
      <c r="B36" s="7"/>
      <c r="C36" s="7"/>
      <c r="D36" s="7"/>
      <c r="E36" s="7"/>
      <c r="F36" s="7"/>
      <c r="G36" s="7"/>
      <c r="H36" s="7"/>
      <c r="I36" s="7"/>
      <c r="J36" s="7"/>
    </row>
    <row r="37" spans="1:25" x14ac:dyDescent="0.25">
      <c r="A37" s="7"/>
      <c r="B37" s="7"/>
      <c r="C37" s="7"/>
      <c r="D37" s="7"/>
      <c r="E37" s="7"/>
      <c r="F37" s="7"/>
      <c r="G37" s="7"/>
      <c r="H37" s="7"/>
      <c r="I37" s="7"/>
      <c r="J37" s="7"/>
    </row>
    <row r="38" spans="1:25" x14ac:dyDescent="0.25">
      <c r="A38" s="7"/>
      <c r="B38" s="7"/>
      <c r="C38" s="7"/>
      <c r="D38" s="7"/>
      <c r="E38" s="7"/>
      <c r="F38" s="7"/>
      <c r="G38" s="7"/>
      <c r="H38" s="7"/>
      <c r="I38" s="7"/>
      <c r="J38" s="7"/>
    </row>
    <row r="39" spans="1:25" x14ac:dyDescent="0.25">
      <c r="A39" s="7"/>
      <c r="B39" s="7"/>
      <c r="C39" s="7"/>
      <c r="D39" s="7"/>
      <c r="E39" s="7"/>
      <c r="F39" s="7"/>
      <c r="G39" s="7"/>
      <c r="H39" s="7"/>
      <c r="I39" s="7"/>
      <c r="J39" s="7"/>
      <c r="M39">
        <v>2024</v>
      </c>
      <c r="N39">
        <v>15</v>
      </c>
      <c r="W39" s="2"/>
      <c r="X39" s="2"/>
      <c r="Y39" s="2"/>
    </row>
    <row r="40" spans="1:25" x14ac:dyDescent="0.25">
      <c r="A40" s="7"/>
      <c r="B40" s="7"/>
      <c r="C40" s="7"/>
      <c r="D40" s="7"/>
      <c r="E40" s="7"/>
      <c r="F40" s="7"/>
      <c r="G40" s="7"/>
      <c r="H40" s="7"/>
      <c r="I40" s="7"/>
      <c r="J40" s="7"/>
      <c r="M40">
        <v>2023</v>
      </c>
      <c r="N40">
        <v>15</v>
      </c>
    </row>
    <row r="41" spans="1:25" x14ac:dyDescent="0.25">
      <c r="A41" s="7"/>
      <c r="B41" s="7"/>
      <c r="C41" s="7"/>
      <c r="D41" s="7"/>
      <c r="E41" s="7"/>
      <c r="F41" s="7"/>
      <c r="G41" s="7"/>
      <c r="H41" s="7"/>
      <c r="I41" s="7"/>
      <c r="J41" s="7"/>
      <c r="M41">
        <v>2022</v>
      </c>
      <c r="N41">
        <v>15</v>
      </c>
    </row>
    <row r="42" spans="1:25" x14ac:dyDescent="0.25">
      <c r="A42" s="7"/>
      <c r="B42" s="7"/>
      <c r="C42" s="7"/>
      <c r="D42" s="7"/>
      <c r="E42" s="7"/>
      <c r="F42" s="7"/>
      <c r="G42" s="7"/>
      <c r="H42" s="7"/>
      <c r="I42" s="7"/>
      <c r="J42" s="7"/>
    </row>
    <row r="43" spans="1:25" x14ac:dyDescent="0.25">
      <c r="A43" s="7"/>
      <c r="B43" s="7"/>
      <c r="C43" s="7"/>
      <c r="D43" s="7"/>
      <c r="E43" s="7"/>
      <c r="F43" s="7"/>
      <c r="G43" s="7"/>
      <c r="H43" s="7"/>
      <c r="I43" s="7"/>
      <c r="J43" s="7"/>
    </row>
    <row r="44" spans="1:25" x14ac:dyDescent="0.25">
      <c r="A44" s="7"/>
      <c r="B44" s="7"/>
      <c r="C44" s="7"/>
      <c r="D44" s="7"/>
      <c r="E44" s="7"/>
      <c r="F44" s="7"/>
      <c r="G44" s="7"/>
      <c r="H44" s="7"/>
      <c r="I44" s="7"/>
      <c r="J44" s="7"/>
    </row>
    <row r="45" spans="1:25" x14ac:dyDescent="0.25">
      <c r="A45" s="7"/>
      <c r="B45" s="7"/>
      <c r="C45" s="7"/>
      <c r="D45" s="7"/>
      <c r="E45" s="7"/>
      <c r="F45" s="7"/>
      <c r="G45" s="7"/>
      <c r="H45" s="7"/>
      <c r="I45" s="7"/>
      <c r="J45" s="7"/>
    </row>
    <row r="46" spans="1:25" x14ac:dyDescent="0.25">
      <c r="A46" s="7"/>
      <c r="B46" s="7"/>
      <c r="C46" s="7"/>
      <c r="D46" s="7"/>
      <c r="E46" s="7"/>
      <c r="F46" s="7"/>
      <c r="G46" s="7"/>
      <c r="H46" s="7"/>
      <c r="I46" s="7"/>
      <c r="J46" s="7"/>
    </row>
    <row r="47" spans="1:25" x14ac:dyDescent="0.25">
      <c r="A47" s="7"/>
      <c r="B47" s="7"/>
      <c r="C47" s="7"/>
      <c r="D47" s="7"/>
      <c r="E47" s="7"/>
      <c r="F47" s="7"/>
      <c r="G47" s="7"/>
      <c r="H47" s="7"/>
      <c r="I47" s="7"/>
      <c r="J47" s="7"/>
    </row>
    <row r="48" spans="1:25" x14ac:dyDescent="0.25">
      <c r="A48" s="7"/>
      <c r="B48" s="7"/>
      <c r="C48" s="7"/>
      <c r="D48" s="7"/>
      <c r="E48" s="7"/>
      <c r="F48" s="7"/>
      <c r="G48" s="7"/>
      <c r="H48" s="7"/>
      <c r="I48" s="7"/>
      <c r="J48" s="7"/>
    </row>
    <row r="49" spans="1:10" x14ac:dyDescent="0.25">
      <c r="A49" s="7"/>
      <c r="B49" s="7"/>
      <c r="C49" s="7"/>
      <c r="D49" s="7"/>
      <c r="E49" s="7"/>
      <c r="F49" s="7"/>
      <c r="G49" s="7"/>
      <c r="H49" s="7"/>
      <c r="I49" s="7"/>
      <c r="J49" s="7"/>
    </row>
    <row r="50" spans="1:10" x14ac:dyDescent="0.25">
      <c r="A50" s="7"/>
      <c r="B50" s="7"/>
      <c r="C50" s="7"/>
      <c r="D50" s="7"/>
      <c r="E50" s="7"/>
      <c r="F50" s="7"/>
      <c r="G50" s="7"/>
      <c r="H50" s="7"/>
      <c r="I50" s="7"/>
      <c r="J50" s="7"/>
    </row>
  </sheetData>
  <mergeCells count="1">
    <mergeCell ref="A29:J50"/>
  </mergeCells>
  <pageMargins left="0.7" right="0.7" top="0.75" bottom="0.75" header="0.3" footer="0.3"/>
  <drawing r:id="rId1"/>
  <extLst>
    <ext xmlns:x15="http://schemas.microsoft.com/office/spreadsheetml/2010/11/main" uri="{F7C9EE02-42E1-4005-9D12-6889AFFD525C}">
      <x15:webExtensions xmlns:xm="http://schemas.microsoft.com/office/excel/2006/main">
        <x15:webExtension appRef="{8668CF3F-B803-4EF3-B3D1-B77550CD3F40}">
          <xm:f>Charts!$M$39:$N$42</xm:f>
        </x15:webExtension>
      </x15:webExtens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Ayesha Younis</cp:lastModifiedBy>
  <dcterms:created xsi:type="dcterms:W3CDTF">2025-03-29T19:39:28Z</dcterms:created>
  <dcterms:modified xsi:type="dcterms:W3CDTF">2025-03-30T07:39:19Z</dcterms:modified>
</cp:coreProperties>
</file>