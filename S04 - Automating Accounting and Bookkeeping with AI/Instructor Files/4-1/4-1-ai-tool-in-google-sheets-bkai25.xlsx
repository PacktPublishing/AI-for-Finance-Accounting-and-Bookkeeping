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xr:revisionPtr revIDLastSave="1" documentId="118_{C9B2BB2A-D6C9-43F8-93A3-64B5D1CEC74C}" xr6:coauthVersionLast="47" xr6:coauthVersionMax="47" xr10:uidLastSave="{53E6C2C7-F87C-4FE3-99AD-E3F51AA0654E}"/>
  <bookViews>
    <workbookView xWindow="0" yWindow="0" windowWidth="0" windowHeight="0" activeTab="1" xr2:uid="{00000000-000D-0000-FFFF-FFFF00000000}"/>
  </bookViews>
  <sheets>
    <sheet name="Sheet1" sheetId="1" r:id="rId1"/>
    <sheet name="Inventory Mg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E8" i="1"/>
</calcChain>
</file>

<file path=xl/sharedStrings.xml><?xml version="1.0" encoding="utf-8"?>
<sst xmlns="http://schemas.openxmlformats.org/spreadsheetml/2006/main" count="235" uniqueCount="105">
  <si>
    <t>Invoice Number</t>
  </si>
  <si>
    <t>Customer Name</t>
  </si>
  <si>
    <t>Invoice Date</t>
  </si>
  <si>
    <t>Due Date</t>
  </si>
  <si>
    <t>Amount</t>
  </si>
  <si>
    <t>Status</t>
  </si>
  <si>
    <t>INV-2024-1001</t>
  </si>
  <si>
    <t>Bridge Tours Co.</t>
  </si>
  <si>
    <t>INV-2024-1002</t>
  </si>
  <si>
    <t>Amelia John</t>
  </si>
  <si>
    <t>INV-2024-1003</t>
  </si>
  <si>
    <t>Homeone Deco</t>
  </si>
  <si>
    <t>INV-2024-1004</t>
  </si>
  <si>
    <t>Persona Inc.</t>
  </si>
  <si>
    <t>INV-2024-1005</t>
  </si>
  <si>
    <t>Holland Patrick</t>
  </si>
  <si>
    <t>INV-2024-1006</t>
  </si>
  <si>
    <t>Joseph Douglas</t>
  </si>
  <si>
    <t>Item ID</t>
  </si>
  <si>
    <t>Item Name</t>
  </si>
  <si>
    <t>Category</t>
  </si>
  <si>
    <t>Quantity</t>
  </si>
  <si>
    <t>Purchase Date</t>
  </si>
  <si>
    <t>Cost Per Item</t>
  </si>
  <si>
    <t>In Use</t>
  </si>
  <si>
    <t>Condition</t>
  </si>
  <si>
    <t>Location</t>
  </si>
  <si>
    <t>Notes</t>
  </si>
  <si>
    <t>Details</t>
  </si>
  <si>
    <t>Stage Lighting Fixture</t>
  </si>
  <si>
    <t>Lighting</t>
  </si>
  <si>
    <t>Good</t>
  </si>
  <si>
    <t>Warehouse A</t>
  </si>
  <si>
    <t>Used for stage events</t>
  </si>
  <si>
    <t>LED, DMX controlled</t>
  </si>
  <si>
    <t>Folding Chairs</t>
  </si>
  <si>
    <t>Seating</t>
  </si>
  <si>
    <t>Excellent</t>
  </si>
  <si>
    <t>Stackable</t>
  </si>
  <si>
    <t>Metal frame, plastic seat</t>
  </si>
  <si>
    <t>Sound Mixer</t>
  </si>
  <si>
    <t>Audio</t>
  </si>
  <si>
    <t>Fair</t>
  </si>
  <si>
    <t>12 Channel</t>
  </si>
  <si>
    <t>Digital, with effects</t>
  </si>
  <si>
    <t>Round Tables</t>
  </si>
  <si>
    <t>Tables</t>
  </si>
  <si>
    <t>6ft diameter</t>
  </si>
  <si>
    <t>Foldable legs, wooden top</t>
  </si>
  <si>
    <t>Projector Screen</t>
  </si>
  <si>
    <t>Visual</t>
  </si>
  <si>
    <t>Retractable</t>
  </si>
  <si>
    <t>100 inch, tripod stand</t>
  </si>
  <si>
    <t>Tablecloths</t>
  </si>
  <si>
    <t>Linen</t>
  </si>
  <si>
    <t>New</t>
  </si>
  <si>
    <t>Assorted colors</t>
  </si>
  <si>
    <t>Off-white, Polyester, washable</t>
  </si>
  <si>
    <t>Balloons</t>
  </si>
  <si>
    <t>Office</t>
  </si>
  <si>
    <t>Red, yellow, golden, silver, black</t>
  </si>
  <si>
    <t>Arch</t>
  </si>
  <si>
    <t>Metal</t>
  </si>
  <si>
    <t>Golden</t>
  </si>
  <si>
    <t>Curtains</t>
  </si>
  <si>
    <t>White</t>
  </si>
  <si>
    <t>Net</t>
  </si>
  <si>
    <t>Black</t>
  </si>
  <si>
    <t>Center pieces</t>
  </si>
  <si>
    <t>Floral</t>
  </si>
  <si>
    <t>Modern</t>
  </si>
  <si>
    <t>Globes</t>
  </si>
  <si>
    <t>Glass</t>
  </si>
  <si>
    <t>Transparent</t>
  </si>
  <si>
    <t>Disco lights</t>
  </si>
  <si>
    <t>Multicolor</t>
  </si>
  <si>
    <t>Stand</t>
  </si>
  <si>
    <t>Wood</t>
  </si>
  <si>
    <t>3 by 6 feet</t>
  </si>
  <si>
    <t>Boxes</t>
  </si>
  <si>
    <t>Props</t>
  </si>
  <si>
    <t>Card holders</t>
  </si>
  <si>
    <t>metal</t>
  </si>
  <si>
    <t>Silver</t>
  </si>
  <si>
    <t>Serving Plates</t>
  </si>
  <si>
    <t>ceramic</t>
  </si>
  <si>
    <t>white</t>
  </si>
  <si>
    <t>Quarter plates</t>
  </si>
  <si>
    <t>Soup bowls</t>
  </si>
  <si>
    <t>Ceramic</t>
  </si>
  <si>
    <t>Dessert spoon</t>
  </si>
  <si>
    <t>Spoon</t>
  </si>
  <si>
    <t>Fork</t>
  </si>
  <si>
    <t>Knife</t>
  </si>
  <si>
    <t>Napkins</t>
  </si>
  <si>
    <t>Cotton</t>
  </si>
  <si>
    <t>Maroon</t>
  </si>
  <si>
    <t>Yellow</t>
  </si>
  <si>
    <t>Blue</t>
  </si>
  <si>
    <t>Grey</t>
  </si>
  <si>
    <t>Pink</t>
  </si>
  <si>
    <t>Red</t>
  </si>
  <si>
    <t>Table cloth</t>
  </si>
  <si>
    <t>Chair cover</t>
  </si>
  <si>
    <t>Key Takeaways from the Inventory Analysis:
1.  **Dominant Item Categories:** The inventory is heavily weighted towards certain categories.
      * The 'metal' and 'cotton' categories have the highest number of items, as shown in the 'Distribution of Items by Category' bar chart. This suggests a large stock of items like cutlery, card holders, and linens such as napkins, table cloths, and chair covers.
      * The 'seating' category also has a significant number of items, likely due to the large quantity of folding chairs.
2.  **Cost Variation Across Categories:** The cost per item varies significantly depending on the category.
      * The 'audio' category has the highest cost per item, with at least one item costing over $1000, as indicated by the 'Cost Per Item by Category' box plot. This is likely due to the presence of expensive equipment like the sound mixer.
      * Categories like 'metal' and 'cotton' have generally low costs per item, with most items costing less than $5.
      * The 'wood' category also shows a high cost per item, likely influenced by items like stands.
3.  **In-Use Status and Category:** The proportion of items in use differs across categories.
      * A high number of 'unknown' category items (likely balloons and disco lights) are currently in use, as seen in the 'In Use Status of Items by Category' stacked bar chart.
      * A substantial portion of 'metal' and 'cotton' items are also in use.
      * The 'seating' and 'tables' categories show a large quantity of items that are not currently in use, suggesting these items might be used less frequently or are in sufficient stock to meet current demands.
These insights can help in inventory management decisions, such as identifying categories with high stock levels, understanding the investment in different types of equipment, and assessing the utilization rate of various inventory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</si>
</sst>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809]#,##0.00"/>
  </numFmts>
  <fonts count="3">
    <font>
      <sz val="10"/>
      <color rgb="FF000000"/>
      <name val="Arial"/>
      <scheme val="minor"/>
    </font>
    <font>
      <sz val="10"/>
      <color theme="1"/>
      <name val="Arial"/>
      <scheme val="minor"/>
    </font>
    <font>
      <sz val="10"/>
      <color rgb="FF1F1F1F"/>
      <name val="Roboto Mono"/>
    </font>
  </fonts>
  <fills count="4">
    <fill>
      <patternFill patternType="none"/>
    </fill>
    <fill>
      <patternFill patternType="gray125"/>
    </fill>
    <fill>
      <patternFill patternType="solid">
        <fgColor rgb="FFD4D7EF"/>
        <bgColor rgb="FFD4D7EF"/>
      </patternFill>
    </fill>
    <fill>
      <patternFill patternType="solid">
        <fgColor rgb="FFF0F4F9"/>
        <bgColor rgb="FFF0F4F9"/>
      </patternFill>
    </fill>
  </fills>
  <borders count="19">
    <border>
      <left/>
      <right/>
      <top/>
      <bottom/>
      <diagonal/>
    </border>
    <border>
      <left style="thin">
        <color rgb="FF3E4791"/>
      </left>
      <right style="thin">
        <color rgb="FF535FC1"/>
      </right>
      <top style="thin">
        <color rgb="FF3E4791"/>
      </top>
      <bottom style="thin">
        <color rgb="FF3E4791"/>
      </bottom>
      <diagonal/>
    </border>
    <border>
      <left style="thin">
        <color rgb="FF535FC1"/>
      </left>
      <right style="thin">
        <color rgb="FF535FC1"/>
      </right>
      <top style="thin">
        <color rgb="FF3E4791"/>
      </top>
      <bottom style="thin">
        <color rgb="FF3E4791"/>
      </bottom>
      <diagonal/>
    </border>
    <border>
      <left style="thin">
        <color rgb="FF535FC1"/>
      </left>
      <right style="thin">
        <color rgb="FF3E4791"/>
      </right>
      <top style="thin">
        <color rgb="FF3E4791"/>
      </top>
      <bottom style="thin">
        <color rgb="FF3E4791"/>
      </bottom>
      <diagonal/>
    </border>
    <border>
      <left style="thin">
        <color rgb="FF3E4791"/>
      </left>
      <right style="thin">
        <color rgb="FFB7E1CD"/>
      </right>
      <top style="thin">
        <color rgb="FFB7E1CD"/>
      </top>
      <bottom style="thin">
        <color rgb="FFB7E1CD"/>
      </bottom>
      <diagonal/>
    </border>
    <border>
      <left style="thin">
        <color rgb="FFB7E1CD"/>
      </left>
      <right style="thin">
        <color rgb="FFB7E1CD"/>
      </right>
      <top style="thin">
        <color rgb="FFB7E1CD"/>
      </top>
      <bottom style="thin">
        <color rgb="FFB7E1CD"/>
      </bottom>
      <diagonal/>
    </border>
    <border>
      <left style="thin">
        <color rgb="FFB7E1CD"/>
      </left>
      <right style="thin">
        <color rgb="FF3E4791"/>
      </right>
      <top style="thin">
        <color rgb="FFB7E1CD"/>
      </top>
      <bottom style="thin">
        <color rgb="FFB7E1CD"/>
      </bottom>
      <diagonal/>
    </border>
    <border>
      <left style="thin">
        <color rgb="FF3E4791"/>
      </left>
      <right style="thin">
        <color rgb="FFD4D7EF"/>
      </right>
      <top/>
      <bottom style="thin">
        <color rgb="FF3E4791"/>
      </bottom>
      <diagonal/>
    </border>
    <border>
      <left style="thin">
        <color rgb="FFD4D7EF"/>
      </left>
      <right style="thin">
        <color rgb="FFD4D7EF"/>
      </right>
      <top/>
      <bottom style="thin">
        <color rgb="FF3E4791"/>
      </bottom>
      <diagonal/>
    </border>
    <border>
      <left style="thin">
        <color rgb="FFD4D7EF"/>
      </left>
      <right style="thin">
        <color rgb="FF3E4791"/>
      </right>
      <top/>
      <bottom style="thin">
        <color rgb="FF3E4791"/>
      </bottom>
      <diagonal/>
    </border>
    <border>
      <left style="thin">
        <color rgb="FF3E479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3E4791"/>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3E4791"/>
      </right>
      <top style="thin">
        <color rgb="FFF6F8F9"/>
      </top>
      <bottom style="thin">
        <color rgb="FFF6F8F9"/>
      </bottom>
      <diagonal/>
    </border>
    <border>
      <left style="thin">
        <color rgb="FF3E4791"/>
      </left>
      <right style="thin">
        <color rgb="FFF6F8F9"/>
      </right>
      <top style="thin">
        <color rgb="FFF6F8F9"/>
      </top>
      <bottom style="thin">
        <color rgb="FF3E4791"/>
      </bottom>
      <diagonal/>
    </border>
    <border>
      <left style="thin">
        <color rgb="FFF6F8F9"/>
      </left>
      <right style="thin">
        <color rgb="FFF6F8F9"/>
      </right>
      <top style="thin">
        <color rgb="FFF6F8F9"/>
      </top>
      <bottom style="thin">
        <color rgb="FF3E4791"/>
      </bottom>
      <diagonal/>
    </border>
    <border>
      <left style="thin">
        <color rgb="FFF6F8F9"/>
      </left>
      <right style="thin">
        <color rgb="FF3E4791"/>
      </right>
      <top style="thin">
        <color rgb="FFF6F8F9"/>
      </top>
      <bottom style="thin">
        <color rgb="FF3E4791"/>
      </bottom>
      <diagonal/>
    </border>
  </borders>
  <cellStyleXfs count="1">
    <xf numFmtId="0" fontId="0" fillId="0" borderId="0"/>
  </cellStyleXfs>
  <cellXfs count="41">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vertical="center"/>
    </xf>
    <xf numFmtId="0" fontId="1" fillId="0" borderId="5" xfId="0" applyFont="1" applyBorder="1" applyAlignment="1">
      <alignment vertical="center"/>
    </xf>
    <xf numFmtId="14" fontId="1" fillId="0" borderId="5" xfId="0" applyNumberFormat="1" applyFont="1" applyBorder="1" applyAlignment="1">
      <alignment vertical="center"/>
    </xf>
    <xf numFmtId="164" fontId="1" fillId="0" borderId="5" xfId="0" applyNumberFormat="1" applyFont="1" applyBorder="1" applyAlignment="1">
      <alignment vertical="center"/>
    </xf>
    <xf numFmtId="0" fontId="1" fillId="0" borderId="6" xfId="0" applyFont="1" applyBorder="1" applyAlignment="1">
      <alignment horizontal="center" vertical="center"/>
    </xf>
    <xf numFmtId="0" fontId="1" fillId="2" borderId="7" xfId="0" applyFont="1" applyFill="1" applyBorder="1" applyAlignment="1">
      <alignment vertical="center"/>
    </xf>
    <xf numFmtId="0" fontId="1" fillId="2" borderId="8" xfId="0" applyFont="1" applyFill="1" applyBorder="1" applyAlignment="1">
      <alignment vertical="center"/>
    </xf>
    <xf numFmtId="164" fontId="1" fillId="2" borderId="8" xfId="0" applyNumberFormat="1" applyFont="1" applyFill="1" applyBorder="1" applyAlignment="1">
      <alignment vertical="center"/>
    </xf>
    <xf numFmtId="0" fontId="1" fillId="2" borderId="9" xfId="0" applyFont="1" applyFill="1" applyBorder="1" applyAlignment="1">
      <alignment vertical="center"/>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165" fontId="1" fillId="0" borderId="11" xfId="0" applyNumberFormat="1" applyFont="1" applyBorder="1" applyAlignment="1">
      <alignment vertical="center" wrapText="1"/>
    </xf>
    <xf numFmtId="165" fontId="1" fillId="0" borderId="14" xfId="0" applyNumberFormat="1" applyFont="1" applyBorder="1" applyAlignment="1">
      <alignment vertical="center" wrapText="1"/>
    </xf>
    <xf numFmtId="0" fontId="1" fillId="0" borderId="14" xfId="0" applyFont="1" applyBorder="1" applyAlignment="1">
      <alignment horizontal="center" vertical="center" wrapText="1"/>
    </xf>
    <xf numFmtId="0" fontId="1" fillId="0" borderId="15"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14" fontId="1" fillId="0" borderId="11" xfId="0" applyNumberFormat="1" applyFont="1" applyBorder="1" applyAlignment="1">
      <alignment vertical="center" wrapText="1"/>
    </xf>
    <xf numFmtId="0" fontId="1" fillId="0" borderId="11" xfId="0" applyFont="1" applyBorder="1" applyAlignment="1">
      <alignment horizontal="center"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14" fontId="1" fillId="0" borderId="14" xfId="0" applyNumberFormat="1" applyFont="1" applyBorder="1" applyAlignment="1">
      <alignment vertical="center" wrapText="1"/>
    </xf>
    <xf numFmtId="0" fontId="1" fillId="0" borderId="11" xfId="0" applyFont="1" applyBorder="1" applyAlignment="1">
      <alignment vertical="center"/>
    </xf>
    <xf numFmtId="0" fontId="1" fillId="0" borderId="14" xfId="0" applyFont="1" applyBorder="1" applyAlignment="1">
      <alignment vertical="center"/>
    </xf>
    <xf numFmtId="0" fontId="1" fillId="0" borderId="16" xfId="0" applyFont="1" applyBorder="1" applyAlignment="1">
      <alignment vertical="center" wrapText="1"/>
    </xf>
    <xf numFmtId="0" fontId="1" fillId="0" borderId="17" xfId="0" applyFont="1" applyBorder="1" applyAlignment="1">
      <alignment vertical="center"/>
    </xf>
    <xf numFmtId="14" fontId="1" fillId="0" borderId="17" xfId="0" applyNumberFormat="1" applyFont="1" applyBorder="1" applyAlignment="1">
      <alignment vertical="center" wrapText="1"/>
    </xf>
    <xf numFmtId="165" fontId="1" fillId="0" borderId="17" xfId="0" applyNumberFormat="1" applyFont="1" applyBorder="1" applyAlignment="1">
      <alignment vertical="center" wrapText="1"/>
    </xf>
    <xf numFmtId="0" fontId="1" fillId="0" borderId="17" xfId="0" applyFont="1" applyBorder="1" applyAlignment="1">
      <alignment horizontal="center" vertical="center" wrapText="1"/>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0" xfId="0" applyFont="1" applyAlignment="1">
      <alignment wrapText="1"/>
    </xf>
    <xf numFmtId="0" fontId="2" fillId="3" borderId="0" xfId="0" applyFont="1" applyFill="1" applyAlignment="1"/>
    <xf numFmtId="0" fontId="1" fillId="0" borderId="0" xfId="0" applyFont="1" applyAlignment="1">
      <alignment wrapText="1"/>
    </xf>
    <xf numFmtId="0" fontId="0" fillId="0" borderId="0" xfId="0" applyFont="1" applyAlignment="1"/>
  </cellXfs>
  <cellStyles count="1">
    <cellStyle name="Normal" xfId="0" builtinId="0"/>
  </cellStyles>
  <dxfs count="8">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D4D7EF"/>
          <bgColor rgb="FFD4D7EF"/>
        </patternFill>
      </fill>
    </dxf>
    <dxf>
      <fill>
        <patternFill patternType="solid">
          <fgColor rgb="FF535FC1"/>
          <bgColor rgb="FF535FC1"/>
        </patternFill>
      </fill>
    </dxf>
  </dxfs>
  <tableStyles count="2">
    <tableStyle name="Sheet1-style" pivot="0" count="4" xr9:uid="{00000000-0011-0000-FFFF-FFFF00000000}">
      <tableStyleElement type="headerRow" dxfId="7"/>
      <tableStyleElement type="totalRow" dxfId="6"/>
      <tableStyleElement type="firstRowStripe" dxfId="5"/>
      <tableStyleElement type="secondRowStripe" dxfId="4"/>
    </tableStyle>
    <tableStyle name="Inventory Mgt-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390525</xdr:colOff>
      <xdr:row>43</xdr:row>
      <xdr:rowOff>114300</xdr:rowOff>
    </xdr:from>
    <xdr:ext cx="4714875" cy="47625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638175</xdr:colOff>
      <xdr:row>43</xdr:row>
      <xdr:rowOff>161925</xdr:rowOff>
    </xdr:from>
    <xdr:ext cx="4781550" cy="47625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43</xdr:row>
      <xdr:rowOff>161925</xdr:rowOff>
    </xdr:from>
    <xdr:ext cx="4895850" cy="4762500"/>
    <xdr:pic>
      <xdr:nvPicPr>
        <xdr:cNvPr id="4" name="image3.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R_Tracking" displayName="AR_Tracking" ref="A1:F8" totalsRowCount="1">
  <tableColumns count="6">
    <tableColumn id="1" xr3:uid="{00000000-0010-0000-0000-000001000000}" name="Invoice Number"/>
    <tableColumn id="2" xr3:uid="{00000000-0010-0000-0000-000002000000}" name="Customer Name"/>
    <tableColumn id="3" xr3:uid="{00000000-0010-0000-0000-000003000000}" name="Invoice Date"/>
    <tableColumn id="4" xr3:uid="{00000000-0010-0000-0000-000004000000}" name="Due Date"/>
    <tableColumn id="5" xr3:uid="{00000000-0010-0000-0000-000005000000}" name="Amount" totalsRowFunction="custom">
      <totalsRowFormula>SUM(AR_Tracking[Amount])</totalsRowFormula>
    </tableColumn>
    <tableColumn id="6" xr3:uid="{00000000-0010-0000-0000-000006000000}" name="Status" totalsRowFunction="custom">
      <totalsRowFormula>COUNTIF(AR_Tracking[Status], TRUE)</totalsRowFormula>
    </tableColumn>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ventory_Management" displayName="Inventory_Management" ref="A1:K41">
  <tableColumns count="11">
    <tableColumn id="1" xr3:uid="{00000000-0010-0000-0100-000001000000}" name="Item ID"/>
    <tableColumn id="2" xr3:uid="{00000000-0010-0000-0100-000002000000}" name="Item Name"/>
    <tableColumn id="3" xr3:uid="{00000000-0010-0000-0100-000003000000}" name="Category"/>
    <tableColumn id="4" xr3:uid="{00000000-0010-0000-0100-000004000000}" name="Quantity"/>
    <tableColumn id="5" xr3:uid="{00000000-0010-0000-0100-000005000000}" name="Purchase Date"/>
    <tableColumn id="6" xr3:uid="{00000000-0010-0000-0100-000006000000}" name="Cost Per Item"/>
    <tableColumn id="7" xr3:uid="{00000000-0010-0000-0100-000007000000}" name="In Use"/>
    <tableColumn id="8" xr3:uid="{00000000-0010-0000-0100-000008000000}" name="Condition"/>
    <tableColumn id="9" xr3:uid="{00000000-0010-0000-0100-000009000000}" name="Location"/>
    <tableColumn id="10" xr3:uid="{00000000-0010-0000-0100-00000A000000}" name="Notes"/>
    <tableColumn id="11" xr3:uid="{00000000-0010-0000-0100-00000B000000}" name="Details"/>
  </tableColumns>
  <tableStyleInfo name="Inventory Mg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8"/>
  <sheetViews>
    <sheetView workbookViewId="0">
      <pane ySplit="1" topLeftCell="A3" activePane="bottomLeft" state="frozen"/>
      <selection pane="bottomLeft" activeCell="B3" sqref="B3"/>
    </sheetView>
  </sheetViews>
  <sheetFormatPr defaultColWidth="12.5703125" defaultRowHeight="15.75" customHeight="1"/>
  <cols>
    <col min="1" max="1" width="21.42578125" customWidth="1"/>
    <col min="2" max="2" width="20.42578125" customWidth="1"/>
    <col min="3" max="3" width="19.42578125" customWidth="1"/>
    <col min="4" max="4" width="15.42578125" customWidth="1"/>
    <col min="5" max="5" width="14.5703125" customWidth="1"/>
    <col min="6" max="6" width="13.42578125" customWidth="1"/>
  </cols>
  <sheetData>
    <row r="1" spans="1:6">
      <c r="A1" s="1" t="s">
        <v>0</v>
      </c>
      <c r="B1" s="2" t="s">
        <v>1</v>
      </c>
      <c r="C1" s="2" t="s">
        <v>2</v>
      </c>
      <c r="D1" s="2" t="s">
        <v>3</v>
      </c>
      <c r="E1" s="2" t="s">
        <v>4</v>
      </c>
      <c r="F1" s="3" t="s">
        <v>5</v>
      </c>
    </row>
    <row r="2" spans="1:6">
      <c r="A2" s="4" t="s">
        <v>6</v>
      </c>
      <c r="B2" s="5" t="s">
        <v>7</v>
      </c>
      <c r="C2" s="6">
        <v>45797</v>
      </c>
      <c r="D2" s="6">
        <v>45817</v>
      </c>
      <c r="E2" s="7">
        <v>1000</v>
      </c>
      <c r="F2" s="8" t="b">
        <v>0</v>
      </c>
    </row>
    <row r="3" spans="1:6">
      <c r="A3" s="4" t="s">
        <v>8</v>
      </c>
      <c r="B3" s="5" t="s">
        <v>9</v>
      </c>
      <c r="C3" s="6">
        <v>45798</v>
      </c>
      <c r="D3" s="6">
        <v>45808</v>
      </c>
      <c r="E3" s="7">
        <v>2000</v>
      </c>
      <c r="F3" s="8" t="b">
        <v>1</v>
      </c>
    </row>
    <row r="4" spans="1:6">
      <c r="A4" s="4" t="s">
        <v>10</v>
      </c>
      <c r="B4" s="5" t="s">
        <v>11</v>
      </c>
      <c r="C4" s="6">
        <v>45792</v>
      </c>
      <c r="D4" s="6">
        <v>45802</v>
      </c>
      <c r="E4" s="7">
        <v>4500</v>
      </c>
      <c r="F4" s="8" t="b">
        <v>0</v>
      </c>
    </row>
    <row r="5" spans="1:6">
      <c r="A5" s="4" t="s">
        <v>12</v>
      </c>
      <c r="B5" s="5" t="s">
        <v>13</v>
      </c>
      <c r="C5" s="6">
        <v>45797</v>
      </c>
      <c r="D5" s="6">
        <v>45809</v>
      </c>
      <c r="E5" s="7">
        <v>3500</v>
      </c>
      <c r="F5" s="8" t="b">
        <v>0</v>
      </c>
    </row>
    <row r="6" spans="1:6">
      <c r="A6" s="4" t="s">
        <v>14</v>
      </c>
      <c r="B6" s="5" t="s">
        <v>15</v>
      </c>
      <c r="C6" s="6">
        <v>45797</v>
      </c>
      <c r="D6" s="6">
        <v>45817</v>
      </c>
      <c r="E6" s="7">
        <v>2000</v>
      </c>
      <c r="F6" s="8" t="b">
        <v>1</v>
      </c>
    </row>
    <row r="7" spans="1:6">
      <c r="A7" s="4" t="s">
        <v>16</v>
      </c>
      <c r="B7" s="5" t="s">
        <v>17</v>
      </c>
      <c r="C7" s="6">
        <v>45797</v>
      </c>
      <c r="D7" s="6">
        <v>45817</v>
      </c>
      <c r="E7" s="7">
        <v>3400</v>
      </c>
      <c r="F7" s="8" t="b">
        <v>0</v>
      </c>
    </row>
    <row r="8" spans="1:6">
      <c r="A8" s="9"/>
      <c r="B8" s="10"/>
      <c r="C8" s="10"/>
      <c r="D8" s="10"/>
      <c r="E8" s="11">
        <f>SUM(AR_Tracking[Amount])</f>
        <v>16400</v>
      </c>
      <c r="F8" s="12">
        <f>COUNTIF(AR_Tracking[Status], TRUE)</f>
        <v>2</v>
      </c>
    </row>
  </sheetData>
  <conditionalFormatting sqref="A2:F7">
    <cfRule type="expression" dxfId="0" priority="1" stopIfTrue="1">
      <formula>$D2&lt;TODAY()</formula>
    </cfRule>
  </conditionalFormatting>
  <dataValidations count="2">
    <dataValidation type="custom" allowBlank="1" showDropDown="1" sqref="C2:D7" xr:uid="{00000000-0002-0000-0000-000000000000}">
      <formula1>OR(NOT(ISERROR(DATEVALUE(C2))), AND(ISNUMBER(C2), LEFT(CELL("format", C2))="D"))</formula1>
    </dataValidation>
    <dataValidation type="custom" allowBlank="1" showDropDown="1" sqref="E2:E7" xr:uid="{00000000-0002-0000-0000-000001000000}">
      <formula1>AND(ISNUMBER(E2),(NOT(OR(NOT(ISERROR(DATEVALUE(E2))), AND(ISNUMBER(E2), LEFT(CELL("format", E2))="D")))))</formula1>
    </dataValidation>
  </dataValidations>
  <pageMargins left="0" right="0" top="0" bottom="0" header="0" footer="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46"/>
  <sheetViews>
    <sheetView tabSelected="1" workbookViewId="0">
      <pane ySplit="1" topLeftCell="B3" activePane="bottomLeft" state="frozen"/>
      <selection pane="bottomLeft" activeCell="B3" sqref="B3"/>
    </sheetView>
  </sheetViews>
  <sheetFormatPr defaultColWidth="12.5703125" defaultRowHeight="15.75" customHeight="1"/>
  <cols>
    <col min="1" max="1" width="11.85546875" customWidth="1"/>
    <col min="2" max="2" width="19.85546875" customWidth="1"/>
    <col min="3" max="5" width="13.42578125" customWidth="1"/>
    <col min="6" max="6" width="15.140625" customWidth="1"/>
    <col min="7" max="11" width="13.42578125" customWidth="1"/>
  </cols>
  <sheetData>
    <row r="1" spans="1:11">
      <c r="A1" s="13" t="s">
        <v>18</v>
      </c>
      <c r="B1" s="14" t="s">
        <v>19</v>
      </c>
      <c r="C1" s="14" t="s">
        <v>20</v>
      </c>
      <c r="D1" s="14" t="s">
        <v>21</v>
      </c>
      <c r="E1" s="14" t="s">
        <v>22</v>
      </c>
      <c r="F1" s="14" t="s">
        <v>23</v>
      </c>
      <c r="G1" s="14" t="s">
        <v>24</v>
      </c>
      <c r="H1" s="14" t="s">
        <v>25</v>
      </c>
      <c r="I1" s="14" t="s">
        <v>26</v>
      </c>
      <c r="J1" s="14" t="s">
        <v>27</v>
      </c>
      <c r="K1" s="15" t="s">
        <v>28</v>
      </c>
    </row>
    <row r="2" spans="1:11">
      <c r="A2" s="20">
        <v>1</v>
      </c>
      <c r="B2" s="21" t="s">
        <v>29</v>
      </c>
      <c r="C2" s="21" t="s">
        <v>30</v>
      </c>
      <c r="D2" s="21">
        <v>15</v>
      </c>
      <c r="E2" s="22">
        <v>45148</v>
      </c>
      <c r="F2" s="16">
        <v>250</v>
      </c>
      <c r="G2" s="23" t="b">
        <v>1</v>
      </c>
      <c r="H2" s="21" t="s">
        <v>31</v>
      </c>
      <c r="I2" s="21" t="s">
        <v>32</v>
      </c>
      <c r="J2" s="21" t="s">
        <v>33</v>
      </c>
      <c r="K2" s="24" t="s">
        <v>34</v>
      </c>
    </row>
    <row r="3" spans="1:11">
      <c r="A3" s="25">
        <v>2</v>
      </c>
      <c r="B3" s="26" t="s">
        <v>35</v>
      </c>
      <c r="C3" s="26" t="s">
        <v>36</v>
      </c>
      <c r="D3" s="26">
        <v>200</v>
      </c>
      <c r="E3" s="27">
        <v>45174</v>
      </c>
      <c r="F3" s="17">
        <v>15</v>
      </c>
      <c r="G3" s="18" t="b">
        <v>0</v>
      </c>
      <c r="H3" s="26" t="s">
        <v>37</v>
      </c>
      <c r="I3" s="26" t="s">
        <v>32</v>
      </c>
      <c r="J3" s="26" t="s">
        <v>38</v>
      </c>
      <c r="K3" s="19" t="s">
        <v>39</v>
      </c>
    </row>
    <row r="4" spans="1:11">
      <c r="A4" s="20">
        <v>3</v>
      </c>
      <c r="B4" s="21" t="s">
        <v>40</v>
      </c>
      <c r="C4" s="21" t="s">
        <v>41</v>
      </c>
      <c r="D4" s="21">
        <v>3</v>
      </c>
      <c r="E4" s="22">
        <v>45219</v>
      </c>
      <c r="F4" s="16">
        <v>1200</v>
      </c>
      <c r="G4" s="23" t="b">
        <v>1</v>
      </c>
      <c r="H4" s="21" t="s">
        <v>42</v>
      </c>
      <c r="I4" s="21" t="s">
        <v>32</v>
      </c>
      <c r="J4" s="21" t="s">
        <v>43</v>
      </c>
      <c r="K4" s="24" t="s">
        <v>44</v>
      </c>
    </row>
    <row r="5" spans="1:11">
      <c r="A5" s="25">
        <v>4</v>
      </c>
      <c r="B5" s="26" t="s">
        <v>45</v>
      </c>
      <c r="C5" s="26" t="s">
        <v>46</v>
      </c>
      <c r="D5" s="26">
        <v>25</v>
      </c>
      <c r="E5" s="27">
        <v>45245</v>
      </c>
      <c r="F5" s="17">
        <v>80</v>
      </c>
      <c r="G5" s="18" t="b">
        <v>0</v>
      </c>
      <c r="H5" s="26" t="s">
        <v>31</v>
      </c>
      <c r="I5" s="26" t="s">
        <v>32</v>
      </c>
      <c r="J5" s="26" t="s">
        <v>47</v>
      </c>
      <c r="K5" s="19" t="s">
        <v>48</v>
      </c>
    </row>
    <row r="6" spans="1:11">
      <c r="A6" s="20">
        <v>5</v>
      </c>
      <c r="B6" s="21" t="s">
        <v>49</v>
      </c>
      <c r="C6" s="21" t="s">
        <v>50</v>
      </c>
      <c r="D6" s="21">
        <v>5</v>
      </c>
      <c r="E6" s="22">
        <v>45261</v>
      </c>
      <c r="F6" s="16">
        <v>40</v>
      </c>
      <c r="G6" s="23" t="b">
        <v>1</v>
      </c>
      <c r="H6" s="21" t="s">
        <v>31</v>
      </c>
      <c r="I6" s="21" t="s">
        <v>32</v>
      </c>
      <c r="J6" s="21" t="s">
        <v>51</v>
      </c>
      <c r="K6" s="24" t="s">
        <v>52</v>
      </c>
    </row>
    <row r="7" spans="1:11">
      <c r="A7" s="25">
        <v>6</v>
      </c>
      <c r="B7" s="26" t="s">
        <v>53</v>
      </c>
      <c r="C7" s="26" t="s">
        <v>54</v>
      </c>
      <c r="D7" s="26">
        <v>100</v>
      </c>
      <c r="E7" s="27">
        <v>45309</v>
      </c>
      <c r="F7" s="17">
        <v>50</v>
      </c>
      <c r="G7" s="18" t="b">
        <v>0</v>
      </c>
      <c r="H7" s="26" t="s">
        <v>55</v>
      </c>
      <c r="I7" s="26" t="s">
        <v>32</v>
      </c>
      <c r="J7" s="26" t="s">
        <v>56</v>
      </c>
      <c r="K7" s="19" t="s">
        <v>57</v>
      </c>
    </row>
    <row r="8" spans="1:11">
      <c r="A8" s="20">
        <v>7</v>
      </c>
      <c r="B8" s="21" t="s">
        <v>58</v>
      </c>
      <c r="C8" s="21"/>
      <c r="D8" s="21">
        <v>1000</v>
      </c>
      <c r="E8" s="22">
        <v>45434</v>
      </c>
      <c r="F8" s="16">
        <v>60</v>
      </c>
      <c r="G8" s="23" t="b">
        <v>1</v>
      </c>
      <c r="H8" s="21" t="s">
        <v>31</v>
      </c>
      <c r="I8" s="21" t="s">
        <v>59</v>
      </c>
      <c r="J8" s="21" t="s">
        <v>56</v>
      </c>
      <c r="K8" s="24" t="s">
        <v>60</v>
      </c>
    </row>
    <row r="9" spans="1:11">
      <c r="A9" s="25">
        <v>8</v>
      </c>
      <c r="B9" s="26" t="s">
        <v>61</v>
      </c>
      <c r="C9" s="26" t="s">
        <v>62</v>
      </c>
      <c r="D9" s="26">
        <v>10</v>
      </c>
      <c r="E9" s="27">
        <v>45261</v>
      </c>
      <c r="F9" s="17">
        <v>45</v>
      </c>
      <c r="G9" s="18" t="b">
        <v>1</v>
      </c>
      <c r="H9" s="26" t="s">
        <v>31</v>
      </c>
      <c r="I9" s="26" t="s">
        <v>59</v>
      </c>
      <c r="J9" s="26"/>
      <c r="K9" s="19" t="s">
        <v>63</v>
      </c>
    </row>
    <row r="10" spans="1:11">
      <c r="A10" s="20">
        <v>9</v>
      </c>
      <c r="B10" s="21" t="s">
        <v>64</v>
      </c>
      <c r="C10" s="21" t="s">
        <v>54</v>
      </c>
      <c r="D10" s="21">
        <v>20</v>
      </c>
      <c r="E10" s="22">
        <v>45283</v>
      </c>
      <c r="F10" s="16">
        <v>60</v>
      </c>
      <c r="G10" s="23" t="b">
        <v>1</v>
      </c>
      <c r="H10" s="21" t="s">
        <v>31</v>
      </c>
      <c r="I10" s="21" t="s">
        <v>32</v>
      </c>
      <c r="J10" s="21"/>
      <c r="K10" s="24" t="s">
        <v>65</v>
      </c>
    </row>
    <row r="11" spans="1:11">
      <c r="A11" s="25">
        <v>10</v>
      </c>
      <c r="B11" s="26" t="s">
        <v>64</v>
      </c>
      <c r="C11" s="26" t="s">
        <v>66</v>
      </c>
      <c r="D11" s="26">
        <v>20</v>
      </c>
      <c r="E11" s="27">
        <v>45309</v>
      </c>
      <c r="F11" s="17">
        <v>60</v>
      </c>
      <c r="G11" s="18" t="b">
        <v>0</v>
      </c>
      <c r="H11" s="26" t="s">
        <v>31</v>
      </c>
      <c r="I11" s="26" t="s">
        <v>32</v>
      </c>
      <c r="J11" s="26"/>
      <c r="K11" s="19" t="s">
        <v>67</v>
      </c>
    </row>
    <row r="12" spans="1:11">
      <c r="A12" s="20">
        <v>11</v>
      </c>
      <c r="B12" s="21" t="s">
        <v>68</v>
      </c>
      <c r="C12" s="21" t="s">
        <v>62</v>
      </c>
      <c r="D12" s="21">
        <v>50</v>
      </c>
      <c r="E12" s="22">
        <v>45360</v>
      </c>
      <c r="F12" s="16">
        <v>100</v>
      </c>
      <c r="G12" s="23" t="b">
        <v>1</v>
      </c>
      <c r="H12" s="21" t="s">
        <v>31</v>
      </c>
      <c r="I12" s="21" t="s">
        <v>32</v>
      </c>
      <c r="J12" s="21"/>
      <c r="K12" s="24" t="s">
        <v>69</v>
      </c>
    </row>
    <row r="13" spans="1:11">
      <c r="A13" s="25">
        <v>12</v>
      </c>
      <c r="B13" s="26" t="s">
        <v>68</v>
      </c>
      <c r="C13" s="26" t="s">
        <v>62</v>
      </c>
      <c r="D13" s="26">
        <v>50</v>
      </c>
      <c r="E13" s="27">
        <v>45309</v>
      </c>
      <c r="F13" s="17">
        <v>100</v>
      </c>
      <c r="G13" s="18" t="b">
        <v>1</v>
      </c>
      <c r="H13" s="26" t="s">
        <v>31</v>
      </c>
      <c r="I13" s="26" t="s">
        <v>32</v>
      </c>
      <c r="J13" s="26"/>
      <c r="K13" s="19" t="s">
        <v>70</v>
      </c>
    </row>
    <row r="14" spans="1:11">
      <c r="A14" s="20">
        <v>13</v>
      </c>
      <c r="B14" s="21" t="s">
        <v>71</v>
      </c>
      <c r="C14" s="21" t="s">
        <v>72</v>
      </c>
      <c r="D14" s="21">
        <v>10</v>
      </c>
      <c r="E14" s="22">
        <v>45309</v>
      </c>
      <c r="F14" s="16">
        <v>50</v>
      </c>
      <c r="G14" s="23" t="b">
        <v>1</v>
      </c>
      <c r="H14" s="21" t="s">
        <v>31</v>
      </c>
      <c r="I14" s="21" t="s">
        <v>32</v>
      </c>
      <c r="J14" s="21"/>
      <c r="K14" s="24" t="s">
        <v>73</v>
      </c>
    </row>
    <row r="15" spans="1:11">
      <c r="A15" s="25">
        <v>14</v>
      </c>
      <c r="B15" s="26" t="s">
        <v>74</v>
      </c>
      <c r="C15" s="26"/>
      <c r="D15" s="26">
        <v>5</v>
      </c>
      <c r="E15" s="27">
        <v>45287</v>
      </c>
      <c r="F15" s="17">
        <v>50</v>
      </c>
      <c r="G15" s="18" t="b">
        <v>1</v>
      </c>
      <c r="H15" s="26" t="s">
        <v>31</v>
      </c>
      <c r="I15" s="26" t="s">
        <v>32</v>
      </c>
      <c r="J15" s="26"/>
      <c r="K15" s="19" t="s">
        <v>75</v>
      </c>
    </row>
    <row r="16" spans="1:11">
      <c r="A16" s="20">
        <v>15</v>
      </c>
      <c r="B16" s="21" t="s">
        <v>76</v>
      </c>
      <c r="C16" s="21" t="s">
        <v>77</v>
      </c>
      <c r="D16" s="21">
        <v>12</v>
      </c>
      <c r="E16" s="22">
        <v>45283</v>
      </c>
      <c r="F16" s="16">
        <v>480</v>
      </c>
      <c r="G16" s="23" t="b">
        <v>0</v>
      </c>
      <c r="H16" s="21" t="s">
        <v>31</v>
      </c>
      <c r="I16" s="21" t="s">
        <v>32</v>
      </c>
      <c r="J16" s="21"/>
      <c r="K16" s="24" t="s">
        <v>78</v>
      </c>
    </row>
    <row r="17" spans="1:11">
      <c r="A17" s="25">
        <v>16</v>
      </c>
      <c r="B17" s="26" t="s">
        <v>79</v>
      </c>
      <c r="C17" s="26" t="s">
        <v>77</v>
      </c>
      <c r="D17" s="26">
        <v>50</v>
      </c>
      <c r="E17" s="27">
        <v>45283</v>
      </c>
      <c r="F17" s="17">
        <v>10</v>
      </c>
      <c r="G17" s="18" t="b">
        <v>1</v>
      </c>
      <c r="H17" s="26" t="s">
        <v>31</v>
      </c>
      <c r="I17" s="26" t="s">
        <v>32</v>
      </c>
      <c r="J17" s="26"/>
      <c r="K17" s="19" t="s">
        <v>80</v>
      </c>
    </row>
    <row r="18" spans="1:11">
      <c r="A18" s="20">
        <v>17</v>
      </c>
      <c r="B18" s="21" t="s">
        <v>81</v>
      </c>
      <c r="C18" s="21" t="s">
        <v>82</v>
      </c>
      <c r="D18" s="21">
        <v>100</v>
      </c>
      <c r="E18" s="22">
        <v>45283</v>
      </c>
      <c r="F18" s="16">
        <v>2</v>
      </c>
      <c r="G18" s="23" t="b">
        <v>0</v>
      </c>
      <c r="H18" s="21" t="s">
        <v>42</v>
      </c>
      <c r="I18" s="21" t="s">
        <v>32</v>
      </c>
      <c r="J18" s="21"/>
      <c r="K18" s="24" t="s">
        <v>83</v>
      </c>
    </row>
    <row r="19" spans="1:11">
      <c r="A19" s="25">
        <v>18</v>
      </c>
      <c r="B19" s="26" t="s">
        <v>81</v>
      </c>
      <c r="C19" s="26" t="s">
        <v>82</v>
      </c>
      <c r="D19" s="26"/>
      <c r="E19" s="27">
        <v>45360</v>
      </c>
      <c r="F19" s="17">
        <v>2</v>
      </c>
      <c r="G19" s="18" t="b">
        <v>1</v>
      </c>
      <c r="H19" s="26" t="s">
        <v>31</v>
      </c>
      <c r="I19" s="26" t="s">
        <v>32</v>
      </c>
      <c r="J19" s="26"/>
      <c r="K19" s="19" t="s">
        <v>63</v>
      </c>
    </row>
    <row r="20" spans="1:11">
      <c r="A20" s="20">
        <v>19</v>
      </c>
      <c r="B20" s="21" t="s">
        <v>81</v>
      </c>
      <c r="C20" s="21" t="s">
        <v>82</v>
      </c>
      <c r="D20" s="21"/>
      <c r="E20" s="22">
        <v>45360</v>
      </c>
      <c r="F20" s="16">
        <v>2</v>
      </c>
      <c r="G20" s="23" t="b">
        <v>1</v>
      </c>
      <c r="H20" s="21" t="s">
        <v>31</v>
      </c>
      <c r="I20" s="21" t="s">
        <v>32</v>
      </c>
      <c r="J20" s="21"/>
      <c r="K20" s="24" t="s">
        <v>67</v>
      </c>
    </row>
    <row r="21" spans="1:11">
      <c r="A21" s="25">
        <v>20</v>
      </c>
      <c r="B21" s="26" t="s">
        <v>84</v>
      </c>
      <c r="C21" s="26" t="s">
        <v>85</v>
      </c>
      <c r="D21" s="26"/>
      <c r="E21" s="27">
        <v>45360</v>
      </c>
      <c r="F21" s="17">
        <v>5</v>
      </c>
      <c r="G21" s="18" t="b">
        <v>0</v>
      </c>
      <c r="H21" s="26" t="s">
        <v>31</v>
      </c>
      <c r="I21" s="26" t="s">
        <v>32</v>
      </c>
      <c r="J21" s="26"/>
      <c r="K21" s="19" t="s">
        <v>86</v>
      </c>
    </row>
    <row r="22" spans="1:11">
      <c r="A22" s="20">
        <v>21</v>
      </c>
      <c r="B22" s="21" t="s">
        <v>87</v>
      </c>
      <c r="C22" s="21" t="s">
        <v>85</v>
      </c>
      <c r="D22" s="21"/>
      <c r="E22" s="22">
        <v>45360</v>
      </c>
      <c r="F22" s="16">
        <v>5</v>
      </c>
      <c r="G22" s="23" t="b">
        <v>1</v>
      </c>
      <c r="H22" s="21" t="s">
        <v>31</v>
      </c>
      <c r="I22" s="21" t="s">
        <v>59</v>
      </c>
      <c r="J22" s="21"/>
      <c r="K22" s="24" t="s">
        <v>86</v>
      </c>
    </row>
    <row r="23" spans="1:11">
      <c r="A23" s="25">
        <v>22</v>
      </c>
      <c r="B23" s="26" t="s">
        <v>88</v>
      </c>
      <c r="C23" s="26" t="s">
        <v>89</v>
      </c>
      <c r="D23" s="26"/>
      <c r="E23" s="27">
        <v>45360</v>
      </c>
      <c r="F23" s="17">
        <v>3</v>
      </c>
      <c r="G23" s="18" t="b">
        <v>1</v>
      </c>
      <c r="H23" s="26" t="s">
        <v>31</v>
      </c>
      <c r="I23" s="26" t="s">
        <v>59</v>
      </c>
      <c r="J23" s="26"/>
      <c r="K23" s="19" t="s">
        <v>86</v>
      </c>
    </row>
    <row r="24" spans="1:11">
      <c r="A24" s="20">
        <v>23</v>
      </c>
      <c r="B24" s="21" t="s">
        <v>90</v>
      </c>
      <c r="C24" s="28" t="s">
        <v>62</v>
      </c>
      <c r="D24" s="21">
        <v>150</v>
      </c>
      <c r="E24" s="22">
        <v>45243</v>
      </c>
      <c r="F24" s="16">
        <v>1</v>
      </c>
      <c r="G24" s="23" t="b">
        <v>0</v>
      </c>
      <c r="H24" s="21" t="s">
        <v>42</v>
      </c>
      <c r="I24" s="21" t="s">
        <v>32</v>
      </c>
      <c r="J24" s="21"/>
      <c r="K24" s="24" t="s">
        <v>83</v>
      </c>
    </row>
    <row r="25" spans="1:11">
      <c r="A25" s="25">
        <v>24</v>
      </c>
      <c r="B25" s="26" t="s">
        <v>90</v>
      </c>
      <c r="C25" s="29" t="s">
        <v>62</v>
      </c>
      <c r="D25" s="26">
        <v>150</v>
      </c>
      <c r="E25" s="27">
        <v>45360</v>
      </c>
      <c r="F25" s="17">
        <v>1</v>
      </c>
      <c r="G25" s="18" t="b">
        <v>1</v>
      </c>
      <c r="H25" s="26" t="s">
        <v>31</v>
      </c>
      <c r="I25" s="26" t="s">
        <v>32</v>
      </c>
      <c r="J25" s="26"/>
      <c r="K25" s="19" t="s">
        <v>63</v>
      </c>
    </row>
    <row r="26" spans="1:11">
      <c r="A26" s="20">
        <v>25</v>
      </c>
      <c r="B26" s="21" t="s">
        <v>91</v>
      </c>
      <c r="C26" s="28" t="s">
        <v>62</v>
      </c>
      <c r="D26" s="21">
        <v>150</v>
      </c>
      <c r="E26" s="22">
        <v>45360</v>
      </c>
      <c r="F26" s="16">
        <v>1</v>
      </c>
      <c r="G26" s="23" t="b">
        <v>0</v>
      </c>
      <c r="H26" s="21" t="s">
        <v>31</v>
      </c>
      <c r="I26" s="21" t="s">
        <v>32</v>
      </c>
      <c r="J26" s="21"/>
      <c r="K26" s="24" t="s">
        <v>83</v>
      </c>
    </row>
    <row r="27" spans="1:11">
      <c r="A27" s="25">
        <v>26</v>
      </c>
      <c r="B27" s="26" t="s">
        <v>91</v>
      </c>
      <c r="C27" s="29" t="s">
        <v>62</v>
      </c>
      <c r="D27" s="26">
        <v>150</v>
      </c>
      <c r="E27" s="27">
        <v>45360</v>
      </c>
      <c r="F27" s="17">
        <v>1</v>
      </c>
      <c r="G27" s="18" t="b">
        <v>1</v>
      </c>
      <c r="H27" s="26" t="s">
        <v>31</v>
      </c>
      <c r="I27" s="26" t="s">
        <v>32</v>
      </c>
      <c r="J27" s="26"/>
      <c r="K27" s="19" t="s">
        <v>63</v>
      </c>
    </row>
    <row r="28" spans="1:11">
      <c r="A28" s="20">
        <v>27</v>
      </c>
      <c r="B28" s="21" t="s">
        <v>92</v>
      </c>
      <c r="C28" s="28" t="s">
        <v>62</v>
      </c>
      <c r="D28" s="21">
        <v>150</v>
      </c>
      <c r="E28" s="22">
        <v>45287</v>
      </c>
      <c r="F28" s="16">
        <v>1</v>
      </c>
      <c r="G28" s="23" t="b">
        <v>0</v>
      </c>
      <c r="H28" s="21" t="s">
        <v>42</v>
      </c>
      <c r="I28" s="21" t="s">
        <v>32</v>
      </c>
      <c r="J28" s="21"/>
      <c r="K28" s="24" t="s">
        <v>83</v>
      </c>
    </row>
    <row r="29" spans="1:11">
      <c r="A29" s="25">
        <v>28</v>
      </c>
      <c r="B29" s="26" t="s">
        <v>92</v>
      </c>
      <c r="C29" s="29" t="s">
        <v>62</v>
      </c>
      <c r="D29" s="26">
        <v>150</v>
      </c>
      <c r="E29" s="27">
        <v>45287</v>
      </c>
      <c r="F29" s="17">
        <v>1</v>
      </c>
      <c r="G29" s="18" t="b">
        <v>1</v>
      </c>
      <c r="H29" s="26" t="s">
        <v>42</v>
      </c>
      <c r="I29" s="26" t="s">
        <v>32</v>
      </c>
      <c r="J29" s="26"/>
      <c r="K29" s="19" t="s">
        <v>63</v>
      </c>
    </row>
    <row r="30" spans="1:11">
      <c r="A30" s="20">
        <v>29</v>
      </c>
      <c r="B30" s="21" t="s">
        <v>93</v>
      </c>
      <c r="C30" s="28" t="s">
        <v>62</v>
      </c>
      <c r="D30" s="21">
        <v>150</v>
      </c>
      <c r="E30" s="22">
        <v>45360</v>
      </c>
      <c r="F30" s="16">
        <v>1</v>
      </c>
      <c r="G30" s="23" t="b">
        <v>0</v>
      </c>
      <c r="H30" s="21" t="s">
        <v>31</v>
      </c>
      <c r="I30" s="21" t="s">
        <v>32</v>
      </c>
      <c r="J30" s="21"/>
      <c r="K30" s="24" t="s">
        <v>83</v>
      </c>
    </row>
    <row r="31" spans="1:11">
      <c r="A31" s="25">
        <v>30</v>
      </c>
      <c r="B31" s="26" t="s">
        <v>93</v>
      </c>
      <c r="C31" s="29" t="s">
        <v>62</v>
      </c>
      <c r="D31" s="26">
        <v>150</v>
      </c>
      <c r="E31" s="27">
        <v>45434</v>
      </c>
      <c r="F31" s="17">
        <v>1</v>
      </c>
      <c r="G31" s="18" t="b">
        <v>1</v>
      </c>
      <c r="H31" s="26" t="s">
        <v>37</v>
      </c>
      <c r="I31" s="26" t="s">
        <v>32</v>
      </c>
      <c r="J31" s="26"/>
      <c r="K31" s="19" t="s">
        <v>63</v>
      </c>
    </row>
    <row r="32" spans="1:11">
      <c r="A32" s="20">
        <v>31</v>
      </c>
      <c r="B32" s="21" t="s">
        <v>94</v>
      </c>
      <c r="C32" s="28" t="s">
        <v>95</v>
      </c>
      <c r="D32" s="21">
        <v>100</v>
      </c>
      <c r="E32" s="22">
        <v>45434</v>
      </c>
      <c r="F32" s="16">
        <v>2</v>
      </c>
      <c r="G32" s="23" t="b">
        <v>0</v>
      </c>
      <c r="H32" s="21" t="s">
        <v>37</v>
      </c>
      <c r="I32" s="21" t="s">
        <v>32</v>
      </c>
      <c r="J32" s="21"/>
      <c r="K32" s="24" t="s">
        <v>96</v>
      </c>
    </row>
    <row r="33" spans="1:11">
      <c r="A33" s="25">
        <v>32</v>
      </c>
      <c r="B33" s="26" t="s">
        <v>94</v>
      </c>
      <c r="C33" s="29" t="s">
        <v>95</v>
      </c>
      <c r="D33" s="26">
        <v>100</v>
      </c>
      <c r="E33" s="27">
        <v>45243</v>
      </c>
      <c r="F33" s="17">
        <v>2</v>
      </c>
      <c r="G33" s="18" t="b">
        <v>1</v>
      </c>
      <c r="H33" s="26" t="s">
        <v>42</v>
      </c>
      <c r="I33" s="26" t="s">
        <v>32</v>
      </c>
      <c r="J33" s="26"/>
      <c r="K33" s="19" t="s">
        <v>97</v>
      </c>
    </row>
    <row r="34" spans="1:11">
      <c r="A34" s="20">
        <v>33</v>
      </c>
      <c r="B34" s="21" t="s">
        <v>94</v>
      </c>
      <c r="C34" s="28" t="s">
        <v>95</v>
      </c>
      <c r="D34" s="21">
        <v>100</v>
      </c>
      <c r="E34" s="22">
        <v>45243</v>
      </c>
      <c r="F34" s="16">
        <v>2</v>
      </c>
      <c r="G34" s="23" t="b">
        <v>1</v>
      </c>
      <c r="H34" s="21" t="s">
        <v>42</v>
      </c>
      <c r="I34" s="21" t="s">
        <v>32</v>
      </c>
      <c r="J34" s="21"/>
      <c r="K34" s="24" t="s">
        <v>98</v>
      </c>
    </row>
    <row r="35" spans="1:11">
      <c r="A35" s="25">
        <v>34</v>
      </c>
      <c r="B35" s="26" t="s">
        <v>94</v>
      </c>
      <c r="C35" s="29" t="s">
        <v>95</v>
      </c>
      <c r="D35" s="26">
        <v>100</v>
      </c>
      <c r="E35" s="27">
        <v>45342</v>
      </c>
      <c r="F35" s="17">
        <v>2</v>
      </c>
      <c r="G35" s="18" t="b">
        <v>1</v>
      </c>
      <c r="H35" s="26" t="s">
        <v>31</v>
      </c>
      <c r="I35" s="26" t="s">
        <v>59</v>
      </c>
      <c r="J35" s="26"/>
      <c r="K35" s="19" t="s">
        <v>99</v>
      </c>
    </row>
    <row r="36" spans="1:11">
      <c r="A36" s="20">
        <v>35</v>
      </c>
      <c r="B36" s="21" t="s">
        <v>94</v>
      </c>
      <c r="C36" s="28" t="s">
        <v>95</v>
      </c>
      <c r="D36" s="21">
        <v>100</v>
      </c>
      <c r="E36" s="22">
        <v>45360</v>
      </c>
      <c r="F36" s="16">
        <v>2</v>
      </c>
      <c r="G36" s="23" t="b">
        <v>1</v>
      </c>
      <c r="H36" s="21" t="s">
        <v>31</v>
      </c>
      <c r="I36" s="21" t="s">
        <v>32</v>
      </c>
      <c r="J36" s="21"/>
      <c r="K36" s="24" t="s">
        <v>63</v>
      </c>
    </row>
    <row r="37" spans="1:11">
      <c r="A37" s="25">
        <v>36</v>
      </c>
      <c r="B37" s="26" t="s">
        <v>94</v>
      </c>
      <c r="C37" s="29" t="s">
        <v>95</v>
      </c>
      <c r="D37" s="26">
        <v>100</v>
      </c>
      <c r="E37" s="27">
        <v>45360</v>
      </c>
      <c r="F37" s="17">
        <v>2</v>
      </c>
      <c r="G37" s="18" t="b">
        <v>1</v>
      </c>
      <c r="H37" s="26" t="s">
        <v>31</v>
      </c>
      <c r="I37" s="26" t="s">
        <v>32</v>
      </c>
      <c r="J37" s="26"/>
      <c r="K37" s="19" t="s">
        <v>100</v>
      </c>
    </row>
    <row r="38" spans="1:11">
      <c r="A38" s="20">
        <v>37</v>
      </c>
      <c r="B38" s="21" t="s">
        <v>94</v>
      </c>
      <c r="C38" s="28" t="s">
        <v>95</v>
      </c>
      <c r="D38" s="21">
        <v>100</v>
      </c>
      <c r="E38" s="22">
        <v>45287</v>
      </c>
      <c r="F38" s="16">
        <v>2</v>
      </c>
      <c r="G38" s="23" t="b">
        <v>1</v>
      </c>
      <c r="H38" s="21" t="s">
        <v>42</v>
      </c>
      <c r="I38" s="21" t="s">
        <v>32</v>
      </c>
      <c r="J38" s="21"/>
      <c r="K38" s="24" t="s">
        <v>101</v>
      </c>
    </row>
    <row r="39" spans="1:11">
      <c r="A39" s="25">
        <v>38</v>
      </c>
      <c r="B39" s="26" t="s">
        <v>94</v>
      </c>
      <c r="C39" s="29" t="s">
        <v>95</v>
      </c>
      <c r="D39" s="26">
        <v>100</v>
      </c>
      <c r="E39" s="27">
        <v>45243</v>
      </c>
      <c r="F39" s="17">
        <v>2</v>
      </c>
      <c r="G39" s="18" t="b">
        <v>1</v>
      </c>
      <c r="H39" s="26" t="s">
        <v>42</v>
      </c>
      <c r="I39" s="26" t="s">
        <v>32</v>
      </c>
      <c r="J39" s="26"/>
      <c r="K39" s="19" t="s">
        <v>67</v>
      </c>
    </row>
    <row r="40" spans="1:11">
      <c r="A40" s="20">
        <v>39</v>
      </c>
      <c r="B40" s="21" t="s">
        <v>102</v>
      </c>
      <c r="C40" s="28" t="s">
        <v>95</v>
      </c>
      <c r="D40" s="21">
        <v>50</v>
      </c>
      <c r="E40" s="22">
        <v>45434</v>
      </c>
      <c r="F40" s="16">
        <v>5</v>
      </c>
      <c r="G40" s="23" t="b">
        <v>1</v>
      </c>
      <c r="H40" s="21" t="s">
        <v>37</v>
      </c>
      <c r="I40" s="21" t="s">
        <v>32</v>
      </c>
      <c r="J40" s="21"/>
      <c r="K40" s="24" t="s">
        <v>67</v>
      </c>
    </row>
    <row r="41" spans="1:11">
      <c r="A41" s="30">
        <v>40</v>
      </c>
      <c r="B41" s="35" t="s">
        <v>103</v>
      </c>
      <c r="C41" s="31" t="s">
        <v>95</v>
      </c>
      <c r="D41" s="35">
        <v>150</v>
      </c>
      <c r="E41" s="32">
        <v>45342</v>
      </c>
      <c r="F41" s="33">
        <v>5</v>
      </c>
      <c r="G41" s="34" t="b">
        <v>1</v>
      </c>
      <c r="H41" s="35" t="s">
        <v>37</v>
      </c>
      <c r="I41" s="35" t="s">
        <v>32</v>
      </c>
      <c r="J41" s="35"/>
      <c r="K41" s="36" t="s">
        <v>67</v>
      </c>
    </row>
    <row r="43" spans="1:11">
      <c r="A43" s="37"/>
    </row>
    <row r="44" spans="1:11" ht="75" customHeight="1">
      <c r="A44" s="38"/>
    </row>
    <row r="45" spans="1:11" ht="375" customHeight="1"/>
    <row r="46" spans="1:11">
      <c r="A46" s="39" t="s">
        <v>104</v>
      </c>
      <c r="B46" s="40"/>
      <c r="C46" s="40"/>
      <c r="D46" s="40"/>
    </row>
  </sheetData>
  <mergeCells count="1">
    <mergeCell ref="A46:D46"/>
  </mergeCells>
  <dataValidations count="2">
    <dataValidation type="custom" allowBlank="1" showDropDown="1" sqref="A2:A41 D2:D41 F2:F41" xr:uid="{00000000-0002-0000-0100-000000000000}">
      <formula1>AND(ISNUMBER(A2),(NOT(OR(NOT(ISERROR(DATEVALUE(A2))), AND(ISNUMBER(A2), LEFT(CELL("format", A2))="D")))))</formula1>
    </dataValidation>
    <dataValidation type="custom" allowBlank="1" showDropDown="1" sqref="E2:E41" xr:uid="{00000000-0002-0000-0100-000001000000}">
      <formula1>OR(NOT(ISERROR(DATEVALUE(E2))), AND(ISNUMBER(E2), LEFT(CELL("format", E2))="D"))</formula1>
    </dataValidation>
  </dataValidations>
  <pageMargins left="0" right="0" top="0" bottom="0" header="0" footer="0"/>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Irene Muthondu</cp:lastModifiedBy>
  <cp:revision/>
  <dcterms:created xsi:type="dcterms:W3CDTF">2025-07-09T12:18:40Z</dcterms:created>
  <dcterms:modified xsi:type="dcterms:W3CDTF">2025-07-09T12:18:40Z</dcterms:modified>
  <cp:category/>
  <cp:contentStatus/>
</cp:coreProperties>
</file>