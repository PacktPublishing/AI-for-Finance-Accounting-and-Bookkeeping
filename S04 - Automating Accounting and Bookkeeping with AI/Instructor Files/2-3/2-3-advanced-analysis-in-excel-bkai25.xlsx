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B947BDD-1B55-4329-A721-DB91D025DCA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les_ME" sheetId="3" r:id="rId1"/>
    <sheet name="Sample" sheetId="4" state="hidden" r:id="rId2"/>
    <sheet name="Sheet4" sheetId="6" r:id="rId3"/>
    <sheet name="Sheet5" sheetId="7" r:id="rId4"/>
    <sheet name="Analysis1" sheetId="9" r:id="rId5"/>
    <sheet name="Detail1" sheetId="10" r:id="rId6"/>
    <sheet name="Detail2" sheetId="11" r:id="rId7"/>
    <sheet name="Detail3" sheetId="12" r:id="rId8"/>
  </sheets>
  <calcPr calcId="191028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2" i="3"/>
  <c r="A6" i="9" a="1"/>
  <c r="A6" i="9" l="1"/>
  <c r="A24" i="9" a="1"/>
  <c r="A24" i="9" l="1"/>
  <c r="A9" i="9" a="1"/>
  <c r="A9" i="9" s="1"/>
  <c r="A44" i="9" a="1"/>
  <c r="A44" i="9" l="1"/>
  <c r="A62" i="9" a="1"/>
  <c r="A62" i="9" l="1"/>
  <c r="A47" i="9" a="1"/>
  <c r="A47" i="9" s="1"/>
  <c r="A71" i="9" a="1"/>
  <c r="A71" i="9" l="1"/>
  <c r="A65" i="9" a="1"/>
  <c r="A65" i="9" s="1"/>
  <c r="A89" i="9" a="1"/>
  <c r="A89" i="9" l="1"/>
  <c r="A74" i="9" a="1"/>
  <c r="A74" i="9" s="1"/>
  <c r="A109" i="9" a="1"/>
  <c r="A109" i="9" l="1"/>
  <c r="A3" i="10" a="1"/>
  <c r="A3" i="11" a="1"/>
  <c r="A3" i="10" l="1"/>
  <c r="A3" i="11"/>
  <c r="A3" i="12" a="1"/>
  <c r="A3" i="1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8">
    <bk>
      <extLst>
        <ext uri="{3e2802c4-a4d2-4d8b-9148-e3be6c30e623}">
          <xlrd:rvb i="13"/>
        </ext>
      </extLst>
    </bk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</futureMetadata>
  <cellMetadata count="1">
    <bk>
      <rc t="1" v="0"/>
    </bk>
  </cellMetadata>
  <valueMetadata count="1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</valueMetadata>
</metadata>
</file>

<file path=xl/python.xml><?xml version="1.0" encoding="utf-8"?>
<python xmlns="http://schemas.microsoft.com/office/spreadsheetml/2023/python">
  <environmentDefinition id="{00000000-0000-0000-0000-000000000000}">
    <initialization>
      <code/>
    </initialization>
  </environmentDefinition>
  <pythonScripts>
    <pythonScript>
      <code>Table1_df=xl(%P2%, headers=True)</code>
    </pythonScript>
    <pythonScript>
      <code>#Plot sales trends over time
# Group data by date and calculate total sales for each date
sales_trends = Table1_df.groupby('Date')['Total Price'].sum()
# Plot sales trends over time
plt.rcParams['font.family'] = ['Meiryo','Batang','TH SarabunPSK','SimHei','DejaVu Sans']
plt.figure(figsize=(12, 6))
sales_trends.plot(kind='line', color='blue', marker='o')
plt.title('Sales Trends Over Time')
plt.xlabel('Date')
plt.ylabel('Total Sales')
plt.grid(True)
plt.show()</code>
    </pythonScript>
    <pythonScript>
      <code>#Identify top-performing clients based on total sales
# Group data by client name and calculate total sales for each client
top_clients = Table1_df.groupby('Client name')['Total Price'].sum().sort_values(ascending=False)
# Display the top-performing clients
top_clients</code>
    </pythonScript>
    <pythonScript>
      <code>#Performance comparison of products versus services
#Analyze performance of products versus services
# Group data by type and calculate total sales for each type
type_performance = Table1_df.groupby('Type')['Total Price'].sum()
# Display the performance comparison
type_performance</code>
    </pythonScript>
    <pythonScript>
      <code>#Analyze sales performance by client location
#Impact of client location on sales performance
# Group data by city and calculate total sales for each city
location_performance = Table1_df.groupby('City')['Total Price'].sum().sort_values(ascending=False)
# Display the sales performance by location
location_performance</code>
    </pythonScript>
    <pythonScript>
      <code>#Pie chart for sales performance by client location
# Create a pie chart for sales performance by client location
# Filter top 10 cities for better visualization
top_cities = location_performance.head(10)
# Plot pie chart
plt.rcParams['font.family'] = ['Meiryo','Batang','TH SarabunPSK','SimHei','DejaVu Sans']
plt.figure(figsize=(10, 8))
top_cities.plot(kind='pie', autopct='%%1.1f%%%%', startangle=90, colors=sns.color_palette('pastel'))
plt.title('Sales Performance by Client Location (Top 10 Cities)')
plt.ylabel('')
plt.show()</code>
    </pythonScript>
    <pythonScript>
      <code>#Pie chart for sales performance by client location
#Pie chart for sales performance by client location
# Create a pie chart for sales performance by client location
# Filter top 10 cities for better visualization
top_cities = location_performance.head(10)
# Plot pie chart
plt.rcParams['font.family'] = ['Meiryo','Batang','TH SarabunPSK','SimHei','DejaVu Sans']
plt.figure(figsize=(10, 8))
top_cities.plot(kind='pie', autopct='%%1.1f%%%%', startangle=90, colors=sns.color_palette('pastel'))
plt.title('Sales Performance by Client Location (Top 10 Cities)')
plt.ylabel('')
plt.show()</code>
    </pythonScript>
    <pythonScript>
      <code>xl(%P2%)</code>
    </pythonScript>
  </pythonScripts>
</python>
</file>

<file path=xl/sharedStrings.xml><?xml version="1.0" encoding="utf-8"?>
<sst xmlns="http://schemas.openxmlformats.org/spreadsheetml/2006/main" count="538" uniqueCount="151">
  <si>
    <t>Date</t>
  </si>
  <si>
    <t>Item</t>
  </si>
  <si>
    <t>Type</t>
  </si>
  <si>
    <t>Quantity</t>
  </si>
  <si>
    <t>Per Unit Price</t>
  </si>
  <si>
    <t>Total Price</t>
  </si>
  <si>
    <t>Client, City</t>
  </si>
  <si>
    <t>Client Number</t>
  </si>
  <si>
    <t>City</t>
  </si>
  <si>
    <t>Client name</t>
  </si>
  <si>
    <t>Props</t>
  </si>
  <si>
    <t>Product</t>
  </si>
  <si>
    <t>Michael Diaz, Rockville</t>
  </si>
  <si>
    <t>570.458.3842</t>
  </si>
  <si>
    <t>Chairs</t>
  </si>
  <si>
    <t>Anthony Murphy DVM, Alexandria</t>
  </si>
  <si>
    <t>031-847-5143</t>
  </si>
  <si>
    <t>Intimate Event</t>
  </si>
  <si>
    <t>Service</t>
  </si>
  <si>
    <t>Daniel Beltrain, Silver Spring</t>
  </si>
  <si>
    <t>648.430.6541</t>
  </si>
  <si>
    <t>Daniel Gardner, Alexandria</t>
  </si>
  <si>
    <t>132-389-1288</t>
  </si>
  <si>
    <t>Balloons</t>
  </si>
  <si>
    <t>Scott Jackson, Arlington</t>
  </si>
  <si>
    <t>281-135-6437</t>
  </si>
  <si>
    <t>Tables</t>
  </si>
  <si>
    <t>James Hayes, Fairfax</t>
  </si>
  <si>
    <t>001-668-7542</t>
  </si>
  <si>
    <t>Jane Saunders, Alexandria</t>
  </si>
  <si>
    <t>224-046-1778</t>
  </si>
  <si>
    <t>Lights</t>
  </si>
  <si>
    <t>Nathaniel Morris, Wilmington</t>
  </si>
  <si>
    <t>556.441.2637</t>
  </si>
  <si>
    <t>Lynn Russell, Washington</t>
  </si>
  <si>
    <t>263-142-3498</t>
  </si>
  <si>
    <t>Brian Moorin, Silver Spring</t>
  </si>
  <si>
    <t>(971)227-2836</t>
  </si>
  <si>
    <t>Robert Coleman, Arlington</t>
  </si>
  <si>
    <t>727.019.3204</t>
  </si>
  <si>
    <t>Decoration Pieces</t>
  </si>
  <si>
    <t>Cheryl Alvarado, Washington</t>
  </si>
  <si>
    <t>(736)959-0523</t>
  </si>
  <si>
    <t>Corporate Event</t>
  </si>
  <si>
    <t>Marshall PLC, Arlington</t>
  </si>
  <si>
    <t>362-353-9229</t>
  </si>
  <si>
    <t>Joseph Stone, Maryland</t>
  </si>
  <si>
    <t>015.519.3973</t>
  </si>
  <si>
    <t>Gina Pacheco, Alexandria</t>
  </si>
  <si>
    <t>447-657-0206</t>
  </si>
  <si>
    <t>Christopher Rodgers, Alexandria</t>
  </si>
  <si>
    <t>Pamela Kramerin, Silver Spring</t>
  </si>
  <si>
    <t>031.916.7861</t>
  </si>
  <si>
    <t>Haley Jonein, Silver Spring</t>
  </si>
  <si>
    <t>471-326-5917</t>
  </si>
  <si>
    <t>Hebert Group, Alexandria</t>
  </si>
  <si>
    <t>025-260-5467</t>
  </si>
  <si>
    <t>Elizabeth Zavala, Washington</t>
  </si>
  <si>
    <t>982.533.8366</t>
  </si>
  <si>
    <t>John Sanchez, Arlington</t>
  </si>
  <si>
    <t>311-817-9341</t>
  </si>
  <si>
    <t>Thomas Hall, Rockville</t>
  </si>
  <si>
    <t>362-353-3267</t>
  </si>
  <si>
    <t>Flowers</t>
  </si>
  <si>
    <t>Jason Fuller, Wilmington</t>
  </si>
  <si>
    <t>001-604-6276</t>
  </si>
  <si>
    <t>Parker, Smith and Gordon, Washington</t>
  </si>
  <si>
    <t>(493)476-8194</t>
  </si>
  <si>
    <t>Joseph-Robertson, Arlington</t>
  </si>
  <si>
    <t>649.476.6455</t>
  </si>
  <si>
    <t>Dean-Patrick, Maryland</t>
  </si>
  <si>
    <t>722 646 4855</t>
  </si>
  <si>
    <t>Erika Rhodes, Maryland</t>
  </si>
  <si>
    <t>(202)814-1080</t>
  </si>
  <si>
    <t>Maria Diaz, Arlington</t>
  </si>
  <si>
    <t>(837)545-3916</t>
  </si>
  <si>
    <t>Connie Brown, Rockville</t>
  </si>
  <si>
    <t>(555)961-4129</t>
  </si>
  <si>
    <t>Cameron Coleman, Rockville</t>
  </si>
  <si>
    <t>362-353-4536</t>
  </si>
  <si>
    <t>Michelle Garcia, Wilmington</t>
  </si>
  <si>
    <t>Brian Richardson, Arlington</t>
  </si>
  <si>
    <t>(186)015-1853</t>
  </si>
  <si>
    <t>Hayes, Brady and Wright, Arlington</t>
  </si>
  <si>
    <t>Ariel Roman, Alexandria</t>
  </si>
  <si>
    <t>796.315.8923</t>
  </si>
  <si>
    <t>Jodi Weaver, Washington</t>
  </si>
  <si>
    <t>703-562-0815</t>
  </si>
  <si>
    <t>Scott Schmitt, Wilmington</t>
  </si>
  <si>
    <t>168.632.6116</t>
  </si>
  <si>
    <t>Cheryl Daniel, Fairfax</t>
  </si>
  <si>
    <t>085-984-9967</t>
  </si>
  <si>
    <t>Michael Turner, Alexandria</t>
  </si>
  <si>
    <t>682.416.3801</t>
  </si>
  <si>
    <t>George Mcgee, Fairfax</t>
  </si>
  <si>
    <t>349-123-6930</t>
  </si>
  <si>
    <t>Krystal Gonzalez, Washington</t>
  </si>
  <si>
    <t>(190)196-5872</t>
  </si>
  <si>
    <t>Michele Wallace, Alexandria</t>
  </si>
  <si>
    <t>922-789-8739</t>
  </si>
  <si>
    <t>John Jones, Washington</t>
  </si>
  <si>
    <t>323-910-1587</t>
  </si>
  <si>
    <t>Leslie Owenin, Silver Spring</t>
  </si>
  <si>
    <t>362-998-7642</t>
  </si>
  <si>
    <t>Rhonda King, Alexandria</t>
  </si>
  <si>
    <t>172.972.7566</t>
  </si>
  <si>
    <t>Kimberly Petty, Wilmington</t>
  </si>
  <si>
    <t>Timothy Mason, Alexandria</t>
  </si>
  <si>
    <t>266-869-4374</t>
  </si>
  <si>
    <t>Curtains</t>
  </si>
  <si>
    <t>Kimberly Hall, Rockville</t>
  </si>
  <si>
    <t>William Johnson, Arlington</t>
  </si>
  <si>
    <t>David Robertson, Fairfax</t>
  </si>
  <si>
    <t>362-764-1248</t>
  </si>
  <si>
    <t>Diana Yang, Washington</t>
  </si>
  <si>
    <t>Herbert Ingram, Wilmington</t>
  </si>
  <si>
    <t>362-543-9223</t>
  </si>
  <si>
    <t>Gonzalez, Nguyen and Greene, Washington</t>
  </si>
  <si>
    <t>(701)059-9255</t>
  </si>
  <si>
    <t>Bethany Sanchez, Arlington</t>
  </si>
  <si>
    <t>148-663-7477</t>
  </si>
  <si>
    <t>Moyer-Alexander, Alexandria</t>
  </si>
  <si>
    <t>(413)042-3147</t>
  </si>
  <si>
    <t>Paula Gilbert, Arlington</t>
  </si>
  <si>
    <t>727.679.9208</t>
  </si>
  <si>
    <t>Brian Rivers, Wilmington</t>
  </si>
  <si>
    <t>809-069-8568</t>
  </si>
  <si>
    <t>Lisa Jackson, Wilmington</t>
  </si>
  <si>
    <t>001-966-8656</t>
  </si>
  <si>
    <t>Trevor Munoz, Maryland</t>
  </si>
  <si>
    <t>Sharon Colin, Silver Spring</t>
  </si>
  <si>
    <t>249-920-8963</t>
  </si>
  <si>
    <t>Laura Thompson, Wilmington</t>
  </si>
  <si>
    <t>133-897-5897</t>
  </si>
  <si>
    <t>3 Feburary</t>
  </si>
  <si>
    <t>21 March, 2025</t>
  </si>
  <si>
    <t>2 April ,2025</t>
  </si>
  <si>
    <t>19 April, 2025</t>
  </si>
  <si>
    <t>6 May, 2025</t>
  </si>
  <si>
    <t>8 May, 2025</t>
  </si>
  <si>
    <t>Sum of Total Price</t>
  </si>
  <si>
    <t>Grand Total</t>
  </si>
  <si>
    <t>Analysis Sheet</t>
  </si>
  <si>
    <t>This sheet will include all the Python formulas generated by Copilot.</t>
  </si>
  <si>
    <t>Load data from Sales_ME, Table1</t>
  </si>
  <si>
    <t>Preview</t>
  </si>
  <si>
    <t>Plot sales trends over time</t>
  </si>
  <si>
    <t>Identify top-performing clients based on total sales</t>
  </si>
  <si>
    <t>Performance comparison of products versus services</t>
  </si>
  <si>
    <t>Analyze sales performance by client location</t>
  </si>
  <si>
    <t>Pie chart for sales performance by client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</si>
</sst>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dd\-mm\-yyyy"/>
    <numFmt numFmtId="166" formatCode="&quot;$&quot;#,##0.00"/>
    <numFmt numFmtId="167" formatCode="000\-000\-0000"/>
  </numFmts>
  <fonts count="5" x14ac:knownFonts="1">
    <font>
      <sz val="11"/>
      <color theme="1"/>
      <name val="Calibri"/>
      <family val="2"/>
      <scheme val="minor"/>
    </font>
    <font>
      <b/>
      <sz val="24"/>
      <color rgb="FF156082"/>
      <name val="Calibri"/>
      <family val="2"/>
      <scheme val="minor"/>
    </font>
    <font>
      <b/>
      <sz val="14"/>
      <color rgb="FF15608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 pivotButton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9">
    <dxf>
      <font>
        <color rgb="FF000000"/>
      </font>
      <fill>
        <patternFill patternType="solid">
          <fgColor indexed="64"/>
          <bgColor rgb="FF63BE7B"/>
        </patternFill>
      </fill>
    </dxf>
    <dxf>
      <font>
        <color rgb="FF000000"/>
      </font>
      <fill>
        <patternFill patternType="solid">
          <fgColor indexed="64"/>
          <bgColor rgb="FFFFEF9C"/>
        </patternFill>
      </fill>
    </dxf>
    <dxf>
      <numFmt numFmtId="0" formatCode="General"/>
    </dxf>
    <dxf>
      <numFmt numFmtId="0" formatCode="General"/>
    </dxf>
    <dxf>
      <numFmt numFmtId="167" formatCode="000\-000\-0000"/>
      <alignment horizontal="left" vertical="bottom" textRotation="0" wrapText="0" indent="0" justifyLastLine="0" shrinkToFit="0" readingOrder="0"/>
    </dxf>
    <dxf>
      <numFmt numFmtId="166" formatCode="&quot;$&quot;#,##0.00"/>
    </dxf>
    <dxf>
      <numFmt numFmtId="166" formatCode="&quot;$&quot;#,##0.00"/>
    </dxf>
    <dxf>
      <alignment horizontal="center" indent="0"/>
    </dxf>
    <dxf>
      <numFmt numFmtId="165" formatCode="dd\-mm\-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microsoft.com/office/2017/06/relationships/richStyles" Target="richData/richStyles.xml"/><Relationship Id="rId3" Type="http://schemas.openxmlformats.org/officeDocument/2006/relationships/worksheet" Target="worksheets/sheet3.xml"/><Relationship Id="rId21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Array" Target="richData/rdarray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20" Type="http://schemas.microsoft.com/office/2017/06/relationships/rdSupportingPropertyBag" Target="richData/rdsupporting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23" Type="http://schemas.microsoft.com/office/2023/09/relationships/Python" Target="python.xml"/><Relationship Id="rId10" Type="http://schemas.openxmlformats.org/officeDocument/2006/relationships/theme" Target="theme/theme1.xml"/><Relationship Id="rId19" Type="http://schemas.microsoft.com/office/2017/06/relationships/rdSupportingPropertyBagStructure" Target="richData/rdsupportingpropertybagstructure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22/10/relationships/richValueRel" Target="richData/richValueRel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[advanced-analysis-in-excel-bkai25.xlsx]Sheet4!PivotTable2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32-4E41-87DC-3C4A2C4192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032-4E41-87DC-3C4A2C4192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Sheet4!$A$5:$A$7</c:f>
              <c:strCache>
                <c:ptCount val="2"/>
                <c:pt idx="0">
                  <c:v>Intimate Event</c:v>
                </c:pt>
                <c:pt idx="1">
                  <c:v>Corporate Event</c:v>
                </c:pt>
              </c:strCache>
            </c:strRef>
          </c:cat>
          <c:val>
            <c:numRef>
              <c:f>Sheet4!$B$5:$B$7</c:f>
              <c:numCache>
                <c:formatCode>"$"#,##0.00</c:formatCode>
                <c:ptCount val="2"/>
                <c:pt idx="0">
                  <c:v>90422.03</c:v>
                </c:pt>
                <c:pt idx="1">
                  <c:v>31195.74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B8-44A5-9FB1-A5CE0696B08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[advanced-analysis-in-excel-bkai25.xlsx]Sheet5!PivotTable3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Sheet5!$B$4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E8-4571-A02A-155F62F10FB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E8-4571-A02A-155F62F10FB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AE8-4571-A02A-155F62F10FB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AE8-4571-A02A-155F62F10FB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AE8-4571-A02A-155F62F10FB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AE8-4571-A02A-155F62F10FB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AE8-4571-A02A-155F62F10FB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AE8-4571-A02A-155F62F10FB9}"/>
              </c:ext>
            </c:extLst>
          </c:dPt>
          <c:cat>
            <c:strRef>
              <c:f>Sheet5!$A$5:$A$13</c:f>
              <c:strCache>
                <c:ptCount val="8"/>
                <c:pt idx="0">
                  <c:v>Balloons</c:v>
                </c:pt>
                <c:pt idx="1">
                  <c:v>Chairs</c:v>
                </c:pt>
                <c:pt idx="2">
                  <c:v>Lights</c:v>
                </c:pt>
                <c:pt idx="3">
                  <c:v>Flowers</c:v>
                </c:pt>
                <c:pt idx="4">
                  <c:v>Props</c:v>
                </c:pt>
                <c:pt idx="5">
                  <c:v>Tables</c:v>
                </c:pt>
                <c:pt idx="6">
                  <c:v>Decoration Pieces</c:v>
                </c:pt>
                <c:pt idx="7">
                  <c:v>Curtains</c:v>
                </c:pt>
              </c:strCache>
            </c:strRef>
          </c:cat>
          <c:val>
            <c:numRef>
              <c:f>Sheet5!$B$5:$B$13</c:f>
              <c:numCache>
                <c:formatCode>"$"#,##0.00</c:formatCode>
                <c:ptCount val="8"/>
                <c:pt idx="0">
                  <c:v>33803.619999999995</c:v>
                </c:pt>
                <c:pt idx="1">
                  <c:v>22635.14</c:v>
                </c:pt>
                <c:pt idx="2">
                  <c:v>19994.39</c:v>
                </c:pt>
                <c:pt idx="3">
                  <c:v>19326.870000000003</c:v>
                </c:pt>
                <c:pt idx="4">
                  <c:v>13230.43</c:v>
                </c:pt>
                <c:pt idx="5">
                  <c:v>10931.910000000002</c:v>
                </c:pt>
                <c:pt idx="6">
                  <c:v>10477.659999999998</c:v>
                </c:pt>
                <c:pt idx="7">
                  <c:v>7136.1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74-4622-9985-7BA2FE7C6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10</xdr:col>
      <xdr:colOff>304800</xdr:colOff>
      <xdr:row>17</xdr:row>
      <xdr:rowOff>76200</xdr:rowOff>
    </xdr:to>
    <xdr:graphicFrame macro="">
      <xdr:nvGraphicFramePr>
        <xdr:cNvPr id="2" name="Chart 1" descr="Chart type: Pie. &#10;&#10;Description automatically generated">
          <a:extLst>
            <a:ext uri="{FF2B5EF4-FFF2-40B4-BE49-F238E27FC236}">
              <a16:creationId xmlns:a16="http://schemas.microsoft.com/office/drawing/2014/main" id="{7F1D5D28-A235-3863-CC13-6574352E70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10</xdr:col>
      <xdr:colOff>304800</xdr:colOff>
      <xdr:row>17</xdr:row>
      <xdr:rowOff>76200</xdr:rowOff>
    </xdr:to>
    <xdr:graphicFrame macro="">
      <xdr:nvGraphicFramePr>
        <xdr:cNvPr id="2" name="Chart 1" descr="Chart type: Pie. &#10;&#10;Description automatically generated">
          <a:extLst>
            <a:ext uri="{FF2B5EF4-FFF2-40B4-BE49-F238E27FC236}">
              <a16:creationId xmlns:a16="http://schemas.microsoft.com/office/drawing/2014/main" id="{EB18FE33-388D-00B1-BFC5-FFC62F2DAC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0</xdr:rowOff>
    </xdr:from>
    <xdr:to>
      <xdr:col>9</xdr:col>
      <xdr:colOff>368968</xdr:colOff>
      <xdr:row>40</xdr:row>
      <xdr:rowOff>0</xdr:rowOff>
    </xdr:to>
    <xdr:pic>
      <xdr:nvPicPr>
        <xdr:cNvPr id="2" name="Picture 1" title="Plot sales trends over time">
          <a:extLst>
            <a:ext uri="{FF2B5EF4-FFF2-40B4-BE49-F238E27FC236}">
              <a16:creationId xmlns:a16="http://schemas.microsoft.com/office/drawing/2014/main" id="{C26179FC-7383-8D5E-980D-95D2668131C5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Analysis1!A24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86325"/>
          <a:ext cx="5855368" cy="3048000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6</xdr:col>
      <xdr:colOff>476250</xdr:colOff>
      <xdr:row>110</xdr:row>
      <xdr:rowOff>36069</xdr:rowOff>
    </xdr:to>
    <xdr:pic>
      <xdr:nvPicPr>
        <xdr:cNvPr id="3" name="Picture 2" title="Pie chart for sales performance by client location">
          <a:extLst>
            <a:ext uri="{FF2B5EF4-FFF2-40B4-BE49-F238E27FC236}">
              <a16:creationId xmlns:a16="http://schemas.microsoft.com/office/drawing/2014/main" id="{F7B6451E-5E89-FF98-890E-4FCD9CA9E065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Analysis1!A89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487900"/>
          <a:ext cx="4133850" cy="4084194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5802.575182870372" createdVersion="8" refreshedVersion="8" minRefreshableVersion="3" recordCount="60" xr:uid="{E5854DB5-1B16-497F-9541-3E2CE0AE133F}">
  <cacheSource type="worksheet">
    <worksheetSource name="Table1"/>
  </cacheSource>
  <cacheFields count="10">
    <cacheField name="Date" numFmtId="165">
      <sharedItems containsSemiMixedTypes="0" containsNonDate="0" containsDate="1" containsString="0" minDate="2025-02-04T00:00:00" maxDate="2025-05-26T00:00:00" count="59">
        <d v="2025-04-02T00:00:00"/>
        <d v="2025-02-04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6T00:00:00"/>
        <d v="2025-02-17T00:00:00"/>
        <d v="2025-02-18T00:00:00"/>
        <d v="2025-02-19T00:00:00"/>
        <d v="2025-02-24T00:00:00"/>
        <d v="2025-02-25T00:00:00"/>
        <d v="2025-03-01T00:00:00"/>
        <d v="2025-03-02T00:00:00"/>
        <d v="2025-03-03T00:00:00"/>
        <d v="2025-03-06T00:00:00"/>
        <d v="2025-03-07T00:00:00"/>
        <d v="2025-03-10T00:00:00"/>
        <d v="2025-03-11T00:00:00"/>
        <d v="2025-03-18T00:00:00"/>
        <d v="2025-03-19T00:00:00"/>
        <d v="2025-03-20T00:00:00"/>
        <d v="2025-03-27T00:00:00"/>
        <d v="2025-03-28T00:00:00"/>
        <d v="2025-03-30T00:00:00"/>
        <d v="2025-03-31T00:00:00"/>
        <d v="2025-04-04T00:00:00"/>
        <d v="2025-04-05T00:00:00"/>
        <d v="2025-04-08T00:00:00"/>
        <d v="2025-04-09T00:00:00"/>
        <d v="2025-04-10T00:00:00"/>
        <d v="2025-04-14T00:00:00"/>
        <d v="2025-04-15T00:00:00"/>
        <d v="2025-04-16T00:00:00"/>
        <d v="2025-04-19T00:00:00"/>
        <d v="2025-04-20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5T00:00:00"/>
        <d v="2025-05-06T00:00:00"/>
        <d v="2025-05-08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5T00:00:00"/>
      </sharedItems>
    </cacheField>
    <cacheField name="Item" numFmtId="0">
      <sharedItems count="10">
        <s v="Props"/>
        <s v="Chairs"/>
        <s v="Intimate Event"/>
        <s v="Balloons"/>
        <s v="Tables"/>
        <s v="Lights"/>
        <s v="Decoration Pieces"/>
        <s v="Corporate Event"/>
        <s v="Flowers"/>
        <s v="Curtains"/>
      </sharedItems>
    </cacheField>
    <cacheField name="Type" numFmtId="0">
      <sharedItems count="2">
        <s v="Product"/>
        <s v="Service"/>
      </sharedItems>
    </cacheField>
    <cacheField name="Quantity" numFmtId="0">
      <sharedItems containsString="0" containsBlank="1" containsNumber="1" containsInteger="1" minValue="5" maxValue="100"/>
    </cacheField>
    <cacheField name="Per Unit Price" numFmtId="166">
      <sharedItems containsString="0" containsBlank="1" containsNumber="1" minValue="19.920000000000002" maxValue="145.62"/>
    </cacheField>
    <cacheField name="Total Price" numFmtId="166">
      <sharedItems containsSemiMixedTypes="0" containsString="0" containsNumber="1" minValue="179.62" maxValue="12864.14"/>
    </cacheField>
    <cacheField name="Client, City" numFmtId="0">
      <sharedItems/>
    </cacheField>
    <cacheField name="Client Number" numFmtId="167">
      <sharedItems containsMixedTypes="1" containsNumber="1" containsInteger="1" minValue="905098023" maxValue="905098023"/>
    </cacheField>
    <cacheField name="City" numFmtId="0">
      <sharedItems count="11">
        <s v="Rockville"/>
        <s v="Alexandria"/>
        <s v="Silver Spring"/>
        <s v="Arlington"/>
        <s v="Fairfax"/>
        <s v="Wilmington"/>
        <s v="Washington"/>
        <s v="Maryland"/>
        <s v="Smith and Gordon, Washington"/>
        <s v="Brady and Wright, Arlington"/>
        <s v="Nguyen and Greene, Washington"/>
      </sharedItems>
    </cacheField>
    <cacheField name="Client 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  <n v="25"/>
    <n v="74.72"/>
    <n v="1868"/>
    <s v="Michael Diaz, Rockville"/>
    <s v="570.458.3842"/>
    <x v="0"/>
    <s v="Michael Diaz"/>
  </r>
  <r>
    <x v="1"/>
    <x v="1"/>
    <x v="0"/>
    <n v="100"/>
    <n v="91.84"/>
    <n v="9184"/>
    <s v="Anthony Murphy DVM, Alexandria"/>
    <s v="031-847-5143"/>
    <x v="1"/>
    <s v="Anthony Murphy DVM"/>
  </r>
  <r>
    <x v="2"/>
    <x v="2"/>
    <x v="1"/>
    <m/>
    <m/>
    <n v="7161.53"/>
    <s v="Daniel Beltrain, Silver Spring"/>
    <s v="648.430.6541"/>
    <x v="2"/>
    <s v="Daniel Beltrain"/>
  </r>
  <r>
    <x v="3"/>
    <x v="2"/>
    <x v="1"/>
    <m/>
    <m/>
    <n v="3385.51"/>
    <s v="Daniel Gardner, Alexandria"/>
    <s v="132-389-1288"/>
    <x v="1"/>
    <s v="Daniel Gardner"/>
  </r>
  <r>
    <x v="4"/>
    <x v="3"/>
    <x v="0"/>
    <n v="47"/>
    <n v="19.920000000000002"/>
    <n v="936.24"/>
    <s v="Scott Jackson, Arlington"/>
    <s v="281-135-6437"/>
    <x v="3"/>
    <s v="Scott Jackson"/>
  </r>
  <r>
    <x v="5"/>
    <x v="4"/>
    <x v="0"/>
    <n v="38"/>
    <n v="38.6"/>
    <n v="1466.8"/>
    <s v="James Hayes, Fairfax"/>
    <s v="001-668-7542"/>
    <x v="4"/>
    <s v="James Hayes"/>
  </r>
  <r>
    <x v="6"/>
    <x v="2"/>
    <x v="1"/>
    <m/>
    <m/>
    <n v="4410.76"/>
    <s v="Jane Saunders, Alexandria"/>
    <s v="224-046-1778"/>
    <x v="1"/>
    <s v="Jane Saunders"/>
  </r>
  <r>
    <x v="7"/>
    <x v="5"/>
    <x v="0"/>
    <n v="12"/>
    <n v="144.51"/>
    <n v="1734.12"/>
    <s v="Nathaniel Morris, Wilmington"/>
    <s v="556.441.2637"/>
    <x v="5"/>
    <s v="Nathaniel Morris"/>
  </r>
  <r>
    <x v="8"/>
    <x v="2"/>
    <x v="1"/>
    <m/>
    <m/>
    <n v="1770.88"/>
    <s v="Lynn Russell, Washington"/>
    <s v="263-142-3498"/>
    <x v="6"/>
    <s v="Lynn Russell"/>
  </r>
  <r>
    <x v="9"/>
    <x v="5"/>
    <x v="0"/>
    <n v="70"/>
    <n v="79.09"/>
    <n v="5536.3"/>
    <s v="Brian Moorin, Silver Spring"/>
    <s v="(971)227-2836"/>
    <x v="2"/>
    <s v="Brian Moorin"/>
  </r>
  <r>
    <x v="10"/>
    <x v="0"/>
    <x v="0"/>
    <n v="13"/>
    <n v="57.33"/>
    <n v="745.29"/>
    <s v="Robert Coleman, Arlington"/>
    <s v="727.019.3204"/>
    <x v="3"/>
    <s v="Robert Coleman"/>
  </r>
  <r>
    <x v="11"/>
    <x v="6"/>
    <x v="0"/>
    <n v="41"/>
    <n v="69.22"/>
    <n v="2838.02"/>
    <s v="Cheryl Alvarado, Washington"/>
    <s v="(736)959-0523"/>
    <x v="6"/>
    <s v="Cheryl Alvarado"/>
  </r>
  <r>
    <x v="12"/>
    <x v="7"/>
    <x v="1"/>
    <m/>
    <m/>
    <n v="3500.84"/>
    <s v="Marshall PLC, Arlington"/>
    <s v="362-353-9229"/>
    <x v="3"/>
    <s v="Marshall PLC"/>
  </r>
  <r>
    <x v="13"/>
    <x v="2"/>
    <x v="1"/>
    <m/>
    <m/>
    <n v="6482.18"/>
    <s v="Joseph Stone, Maryland"/>
    <s v="015.519.3973"/>
    <x v="7"/>
    <s v="Joseph Stone"/>
  </r>
  <r>
    <x v="14"/>
    <x v="2"/>
    <x v="1"/>
    <m/>
    <m/>
    <n v="8798.35"/>
    <s v="Gina Pacheco, Alexandria"/>
    <s v="447-657-0206"/>
    <x v="1"/>
    <s v="Gina Pacheco"/>
  </r>
  <r>
    <x v="15"/>
    <x v="4"/>
    <x v="0"/>
    <n v="32"/>
    <n v="101.76"/>
    <n v="3256.32"/>
    <s v="Christopher Rodgers, Alexandria"/>
    <s v="(971)227-2836"/>
    <x v="1"/>
    <s v="Christopher Rodgers"/>
  </r>
  <r>
    <x v="16"/>
    <x v="4"/>
    <x v="0"/>
    <n v="82"/>
    <n v="47.03"/>
    <n v="3856.46"/>
    <s v="Pamela Kramerin, Silver Spring"/>
    <s v="031.916.7861"/>
    <x v="2"/>
    <s v="Pamela Kramerin"/>
  </r>
  <r>
    <x v="17"/>
    <x v="3"/>
    <x v="0"/>
    <n v="14"/>
    <n v="109.1"/>
    <n v="1527.4"/>
    <s v="Haley Jonein, Silver Spring"/>
    <s v="471-326-5917"/>
    <x v="2"/>
    <s v="Haley Jonein"/>
  </r>
  <r>
    <x v="18"/>
    <x v="7"/>
    <x v="1"/>
    <m/>
    <m/>
    <n v="2003.97"/>
    <s v="Hebert Group, Alexandria"/>
    <s v="025-260-5467"/>
    <x v="1"/>
    <s v="Hebert Group"/>
  </r>
  <r>
    <x v="19"/>
    <x v="6"/>
    <x v="0"/>
    <n v="32"/>
    <n v="85.49"/>
    <n v="2735.68"/>
    <s v="Elizabeth Zavala, Washington"/>
    <s v="982.533.8366"/>
    <x v="6"/>
    <s v="Elizabeth Zavala"/>
  </r>
  <r>
    <x v="20"/>
    <x v="3"/>
    <x v="0"/>
    <n v="16"/>
    <n v="139.69"/>
    <n v="2235.04"/>
    <s v="John Sanchez, Arlington"/>
    <s v="311-817-9341"/>
    <x v="3"/>
    <s v="John Sanchez"/>
  </r>
  <r>
    <x v="21"/>
    <x v="3"/>
    <x v="0"/>
    <n v="92"/>
    <n v="110.9"/>
    <n v="10202.799999999999"/>
    <s v="Thomas Hall, Rockville"/>
    <s v="362-353-3267"/>
    <x v="0"/>
    <s v="Thomas Hall"/>
  </r>
  <r>
    <x v="22"/>
    <x v="8"/>
    <x v="0"/>
    <n v="61"/>
    <n v="123.12"/>
    <n v="7510.32"/>
    <s v="Jason Fuller, Wilmington"/>
    <s v="001-604-6276"/>
    <x v="5"/>
    <s v="Jason Fuller"/>
  </r>
  <r>
    <x v="23"/>
    <x v="7"/>
    <x v="1"/>
    <m/>
    <m/>
    <n v="4812.21"/>
    <s v="Parker, Smith and Gordon, Washington"/>
    <s v="(493)476-8194"/>
    <x v="8"/>
    <s v="Parker"/>
  </r>
  <r>
    <x v="24"/>
    <x v="7"/>
    <x v="1"/>
    <m/>
    <m/>
    <n v="3155.07"/>
    <s v="Joseph-Robertson, Arlington"/>
    <s v="649.476.6455"/>
    <x v="3"/>
    <s v="Joseph-Robertson"/>
  </r>
  <r>
    <x v="25"/>
    <x v="7"/>
    <x v="1"/>
    <m/>
    <m/>
    <n v="2285.84"/>
    <s v="Dean-Patrick, Maryland"/>
    <s v="722 646 4855"/>
    <x v="7"/>
    <s v="Dean-Patrick"/>
  </r>
  <r>
    <x v="26"/>
    <x v="2"/>
    <x v="1"/>
    <m/>
    <m/>
    <n v="4325.74"/>
    <s v="Erika Rhodes, Maryland"/>
    <s v="(202)814-1080"/>
    <x v="7"/>
    <s v="Erika Rhodes"/>
  </r>
  <r>
    <x v="27"/>
    <x v="2"/>
    <x v="1"/>
    <m/>
    <m/>
    <n v="7673.95"/>
    <s v="Maria Diaz, Arlington"/>
    <s v="(837)545-3916"/>
    <x v="3"/>
    <s v="Maria Diaz"/>
  </r>
  <r>
    <x v="28"/>
    <x v="8"/>
    <x v="0"/>
    <n v="10"/>
    <n v="102.58"/>
    <n v="1025.8"/>
    <s v="Connie Brown, Rockville"/>
    <s v="(555)961-4129"/>
    <x v="0"/>
    <s v="Connie Brown"/>
  </r>
  <r>
    <x v="0"/>
    <x v="3"/>
    <x v="0"/>
    <n v="97"/>
    <n v="132.62"/>
    <n v="12864.14"/>
    <s v="Cameron Coleman, Rockville"/>
    <s v="362-353-4536"/>
    <x v="0"/>
    <s v="Cameron Coleman"/>
  </r>
  <r>
    <x v="29"/>
    <x v="8"/>
    <x v="0"/>
    <n v="91"/>
    <n v="113.69"/>
    <n v="10345.790000000001"/>
    <s v="Michelle Garcia, Wilmington"/>
    <s v="362-353-9229"/>
    <x v="5"/>
    <s v="Michelle Garcia"/>
  </r>
  <r>
    <x v="30"/>
    <x v="4"/>
    <x v="0"/>
    <n v="18"/>
    <n v="44.81"/>
    <n v="806.58"/>
    <s v="Brian Richardson, Arlington"/>
    <s v="(186)015-1853"/>
    <x v="3"/>
    <s v="Brian Richardson"/>
  </r>
  <r>
    <x v="31"/>
    <x v="7"/>
    <x v="1"/>
    <m/>
    <m/>
    <n v="8575.02"/>
    <s v="Hayes, Brady and Wright, Arlington"/>
    <s v="(971)227-2836"/>
    <x v="9"/>
    <s v="Hayes"/>
  </r>
  <r>
    <x v="32"/>
    <x v="3"/>
    <x v="0"/>
    <n v="76"/>
    <n v="37.840000000000003"/>
    <n v="2875.84"/>
    <s v="Ariel Roman, Alexandria"/>
    <s v="796.315.8923"/>
    <x v="1"/>
    <s v="Ariel Roman"/>
  </r>
  <r>
    <x v="33"/>
    <x v="2"/>
    <x v="1"/>
    <m/>
    <m/>
    <n v="1451.28"/>
    <s v="Jodi Weaver, Washington"/>
    <s v="703-562-0815"/>
    <x v="6"/>
    <s v="Jodi Weaver"/>
  </r>
  <r>
    <x v="34"/>
    <x v="0"/>
    <x v="0"/>
    <n v="79"/>
    <n v="93.23"/>
    <n v="7365.17"/>
    <s v="Scott Schmitt, Wilmington"/>
    <s v="168.632.6116"/>
    <x v="5"/>
    <s v="Scott Schmitt"/>
  </r>
  <r>
    <x v="35"/>
    <x v="0"/>
    <x v="0"/>
    <n v="69"/>
    <n v="47.13"/>
    <n v="3251.97"/>
    <s v="Cheryl Daniel, Fairfax"/>
    <s v="085-984-9967"/>
    <x v="4"/>
    <s v="Cheryl Daniel"/>
  </r>
  <r>
    <x v="36"/>
    <x v="2"/>
    <x v="1"/>
    <m/>
    <m/>
    <n v="6647.01"/>
    <s v="Michael Turner, Alexandria"/>
    <s v="682.416.3801"/>
    <x v="1"/>
    <s v="Michael Turner"/>
  </r>
  <r>
    <x v="37"/>
    <x v="1"/>
    <x v="0"/>
    <n v="85"/>
    <n v="96.59"/>
    <n v="8210.15"/>
    <s v="George Mcgee, Fairfax"/>
    <s v="349-123-6930"/>
    <x v="4"/>
    <s v="George Mcgee"/>
  </r>
  <r>
    <x v="38"/>
    <x v="2"/>
    <x v="1"/>
    <m/>
    <m/>
    <n v="2155.52"/>
    <s v="Krystal Gonzalez, Washington"/>
    <s v="(190)196-5872"/>
    <x v="6"/>
    <s v="Krystal Gonzalez"/>
  </r>
  <r>
    <x v="39"/>
    <x v="2"/>
    <x v="1"/>
    <m/>
    <m/>
    <n v="9758.0400000000009"/>
    <s v="Michele Wallace, Alexandria"/>
    <s v="922-789-8739"/>
    <x v="1"/>
    <s v="Michele Wallace"/>
  </r>
  <r>
    <x v="40"/>
    <x v="5"/>
    <x v="0"/>
    <n v="59"/>
    <n v="35.69"/>
    <n v="2105.71"/>
    <s v="John Jones, Washington"/>
    <s v="323-910-1587"/>
    <x v="6"/>
    <s v="John Jones"/>
  </r>
  <r>
    <x v="41"/>
    <x v="5"/>
    <x v="0"/>
    <n v="74"/>
    <n v="143.49"/>
    <n v="10618.26"/>
    <s v="Leslie Owenin, Silver Spring"/>
    <s v="362-998-7642"/>
    <x v="2"/>
    <s v="Leslie Owenin"/>
  </r>
  <r>
    <x v="42"/>
    <x v="2"/>
    <x v="1"/>
    <m/>
    <m/>
    <n v="7416.54"/>
    <s v="Rhonda King, Alexandria"/>
    <s v="172.972.7566"/>
    <x v="1"/>
    <s v="Rhonda King"/>
  </r>
  <r>
    <x v="43"/>
    <x v="8"/>
    <x v="0"/>
    <n v="6"/>
    <n v="74.16"/>
    <n v="444.96"/>
    <s v="Kimberly Petty, Wilmington"/>
    <s v="168.632.6116"/>
    <x v="5"/>
    <s v="Kimberly Petty"/>
  </r>
  <r>
    <x v="44"/>
    <x v="6"/>
    <x v="0"/>
    <n v="66"/>
    <n v="39.92"/>
    <n v="2634.72"/>
    <s v="Timothy Mason, Alexandria"/>
    <s v="266-869-4374"/>
    <x v="1"/>
    <s v="Timothy Mason"/>
  </r>
  <r>
    <x v="45"/>
    <x v="9"/>
    <x v="0"/>
    <n v="21"/>
    <n v="104.04"/>
    <n v="2184.84"/>
    <s v="Kimberly Hall, Rockville"/>
    <n v="905098023"/>
    <x v="0"/>
    <s v="Kimberly Hall"/>
  </r>
  <r>
    <x v="46"/>
    <x v="3"/>
    <x v="0"/>
    <n v="8"/>
    <n v="23.12"/>
    <n v="184.96"/>
    <s v="William Johnson, Arlington"/>
    <s v="362-353-9229"/>
    <x v="3"/>
    <s v="William Johnson"/>
  </r>
  <r>
    <x v="47"/>
    <x v="6"/>
    <x v="0"/>
    <n v="7"/>
    <n v="25.66"/>
    <n v="179.62"/>
    <s v="David Robertson, Fairfax"/>
    <s v="362-764-1248"/>
    <x v="4"/>
    <s v="David Robertson"/>
  </r>
  <r>
    <x v="48"/>
    <x v="9"/>
    <x v="0"/>
    <n v="53"/>
    <n v="93.42"/>
    <n v="4951.26"/>
    <s v="Diana Yang, Washington"/>
    <s v="362-353-9229"/>
    <x v="6"/>
    <s v="Diana Yang"/>
  </r>
  <r>
    <x v="49"/>
    <x v="2"/>
    <x v="1"/>
    <m/>
    <m/>
    <n v="5569.14"/>
    <s v="Herbert Ingram, Wilmington"/>
    <s v="362-543-9223"/>
    <x v="5"/>
    <s v="Herbert Ingram"/>
  </r>
  <r>
    <x v="50"/>
    <x v="7"/>
    <x v="1"/>
    <m/>
    <m/>
    <n v="4942.8999999999996"/>
    <s v="Gonzalez, Nguyen and Greene, Washington"/>
    <s v="(701)059-9255"/>
    <x v="10"/>
    <s v="Gonzalez"/>
  </r>
  <r>
    <x v="51"/>
    <x v="2"/>
    <x v="1"/>
    <m/>
    <m/>
    <n v="6355.32"/>
    <s v="Bethany Sanchez, Arlington"/>
    <s v="148-663-7477"/>
    <x v="3"/>
    <s v="Bethany Sanchez"/>
  </r>
  <r>
    <x v="52"/>
    <x v="7"/>
    <x v="1"/>
    <m/>
    <m/>
    <n v="1919.89"/>
    <s v="Moyer-Alexander, Alexandria"/>
    <s v="(413)042-3147"/>
    <x v="1"/>
    <s v="Moyer-Alexander"/>
  </r>
  <r>
    <x v="53"/>
    <x v="4"/>
    <x v="0"/>
    <n v="25"/>
    <n v="61.83"/>
    <n v="1545.75"/>
    <s v="Paula Gilbert, Arlington"/>
    <s v="727.679.9208"/>
    <x v="3"/>
    <s v="Paula Gilbert"/>
  </r>
  <r>
    <x v="54"/>
    <x v="2"/>
    <x v="1"/>
    <m/>
    <m/>
    <n v="7060.28"/>
    <s v="Brian Rivers, Wilmington"/>
    <s v="809-069-8568"/>
    <x v="5"/>
    <s v="Brian Rivers"/>
  </r>
  <r>
    <x v="55"/>
    <x v="3"/>
    <x v="0"/>
    <n v="45"/>
    <n v="66.16"/>
    <n v="2977.2"/>
    <s v="Lisa Jackson, Wilmington"/>
    <s v="001-966-8656"/>
    <x v="5"/>
    <s v="Lisa Jackson"/>
  </r>
  <r>
    <x v="56"/>
    <x v="1"/>
    <x v="0"/>
    <n v="5"/>
    <n v="116.23"/>
    <n v="581.15"/>
    <s v="Trevor Munoz, Maryland"/>
    <s v="362-353-9229"/>
    <x v="7"/>
    <s v="Trevor Munoz"/>
  </r>
  <r>
    <x v="57"/>
    <x v="1"/>
    <x v="0"/>
    <n v="32"/>
    <n v="145.62"/>
    <n v="4659.84"/>
    <s v="Sharon Colin, Silver Spring"/>
    <s v="249-920-8963"/>
    <x v="2"/>
    <s v="Sharon Colin"/>
  </r>
  <r>
    <x v="58"/>
    <x v="6"/>
    <x v="0"/>
    <n v="57"/>
    <n v="36.659999999999997"/>
    <n v="2089.62"/>
    <s v="Laura Thompson, Wilmington"/>
    <s v="133-897-5897"/>
    <x v="5"/>
    <s v="Laura Thomps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FB5374-E973-4326-BD2B-E8994E129CC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4:B7" firstHeaderRow="1" firstDataRow="1" firstDataCol="1" rowPageCount="1" colPageCount="1"/>
  <pivotFields count="10">
    <pivotField compact="0" numFmtId="165" outline="0" showAll="0"/>
    <pivotField axis="axisRow" compact="0" outline="0" showAll="0" sortType="descending">
      <items count="11">
        <item x="3"/>
        <item x="1"/>
        <item x="7"/>
        <item x="9"/>
        <item x="6"/>
        <item x="8"/>
        <item x="2"/>
        <item x="5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multipleItemSelectionAllowed="1" showAll="0">
      <items count="3">
        <item h="1" x="0"/>
        <item x="1"/>
        <item t="default"/>
      </items>
    </pivotField>
    <pivotField compact="0" outline="0" showAll="0"/>
    <pivotField compact="0" outline="0" showAll="0"/>
    <pivotField dataField="1" compact="0" numFmtId="166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3">
    <i>
      <x v="6"/>
    </i>
    <i>
      <x v="2"/>
    </i>
    <i t="grand">
      <x/>
    </i>
  </rowItems>
  <colItems count="1">
    <i/>
  </colItems>
  <pageFields count="1">
    <pageField fld="2" hier="-1"/>
  </pageFields>
  <dataFields count="1">
    <dataField name="Sum of Total Price" fld="5" baseField="0" baseItem="0" numFmtId="166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404B9D-97EB-462C-A07B-AF3C2221FFE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13" firstHeaderRow="1" firstDataRow="1" firstDataCol="1" rowPageCount="1" colPageCount="1"/>
  <pivotFields count="10">
    <pivotField compact="0" numFmtId="165" outline="0" showAll="0"/>
    <pivotField axis="axisRow" compact="0" outline="0" showAll="0" sortType="descending">
      <items count="11">
        <item x="3"/>
        <item x="1"/>
        <item x="7"/>
        <item x="9"/>
        <item x="6"/>
        <item x="8"/>
        <item x="2"/>
        <item x="5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multipleItemSelectionAllowed="1" showAll="0">
      <items count="3">
        <item x="0"/>
        <item h="1" x="1"/>
        <item t="default"/>
      </items>
    </pivotField>
    <pivotField compact="0" outline="0" showAll="0"/>
    <pivotField compact="0" outline="0" showAll="0"/>
    <pivotField dataField="1" compact="0" numFmtId="166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9">
    <i>
      <x/>
    </i>
    <i>
      <x v="1"/>
    </i>
    <i>
      <x v="7"/>
    </i>
    <i>
      <x v="5"/>
    </i>
    <i>
      <x v="8"/>
    </i>
    <i>
      <x v="9"/>
    </i>
    <i>
      <x v="4"/>
    </i>
    <i>
      <x v="3"/>
    </i>
    <i t="grand">
      <x/>
    </i>
  </rowItems>
  <colItems count="1">
    <i/>
  </colItems>
  <pageFields count="1">
    <pageField fld="2" hier="-1"/>
  </pageFields>
  <dataFields count="1">
    <dataField name="Sum of Total Price" fld="5" baseField="0" baseItem="0" numFmtId="166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6">
  <a r="12" c="11">
    <v t="s"/>
    <v t="s">Date</v>
    <v t="s">Item</v>
    <v t="s">Type</v>
    <v t="s">Quantity</v>
    <v t="s">Per Unit Price</v>
    <v t="s">Total Price</v>
    <v t="s">Client, City</v>
    <v t="s">Client Number</v>
    <v t="s">City</v>
    <v t="s">Client name</v>
    <v>0</v>
    <v t="r">0</v>
    <v t="s">Props</v>
    <v t="s">Product</v>
    <v>25</v>
    <v>74.72</v>
    <v>1868</v>
    <v t="s">Michael Diaz, Rockville</v>
    <v t="s">570.458.3842</v>
    <v t="s">Rockville</v>
    <v t="s">Michael Diaz</v>
    <v>1</v>
    <v t="r">1</v>
    <v t="s">Chairs</v>
    <v t="s">Product</v>
    <v>100</v>
    <v>91.84</v>
    <v>9184</v>
    <v t="s">Anthony Murphy DVM, Alexandria</v>
    <v t="s">031-847-5143</v>
    <v t="s">Alexandria</v>
    <v t="s">Anthony Murphy DVM</v>
    <v>2</v>
    <v t="r">2</v>
    <v t="s">Intimate Event</v>
    <v t="s">Service</v>
    <v t="r">3</v>
    <v t="r">3</v>
    <v>7161.53</v>
    <v t="s">Daniel Beltrain, Silver Spring</v>
    <v t="s">648.430.6541</v>
    <v t="s">Silver Spring</v>
    <v t="s">Daniel Beltrain</v>
    <v>3</v>
    <v t="r">4</v>
    <v t="s">Intimate Event</v>
    <v t="s">Service</v>
    <v t="r">3</v>
    <v t="r">3</v>
    <v>3385.51</v>
    <v t="s">Daniel Gardner, Alexandria</v>
    <v t="s">132-389-1288</v>
    <v t="s">Alexandria</v>
    <v t="s">Daniel Gardner</v>
    <v>4</v>
    <v t="r">5</v>
    <v t="s">Balloons</v>
    <v t="s">Product</v>
    <v>47</v>
    <v>19.920000000000002</v>
    <v>936.24</v>
    <v t="s">Scott Jackson, Arlington</v>
    <v t="s">281-135-6437</v>
    <v t="s">Arlington</v>
    <v t="s">Scott Jackson</v>
    <v t="s">...</v>
    <v t="s">...</v>
    <v t="s">...</v>
    <v t="s">...</v>
    <v t="s">...</v>
    <v t="s">...</v>
    <v t="s">...</v>
    <v t="s">...</v>
    <v t="s">...</v>
    <v t="s">...</v>
    <v t="s">...</v>
    <v>55</v>
    <v t="r">6</v>
    <v t="s">Intimate Event</v>
    <v t="s">Service</v>
    <v t="r">3</v>
    <v t="r">3</v>
    <v>7060.28</v>
    <v t="s">Brian Rivers, Wilmington</v>
    <v t="s">809-069-8568</v>
    <v t="s">Wilmington</v>
    <v t="s">Brian Rivers</v>
    <v>56</v>
    <v t="r">7</v>
    <v t="s">Balloons</v>
    <v t="s">Product</v>
    <v>45</v>
    <v>66.16</v>
    <v>2977.2</v>
    <v t="s">Lisa Jackson, Wilmington</v>
    <v t="s">001-966-8656</v>
    <v t="s">Wilmington</v>
    <v t="s">Lisa Jackson</v>
    <v>57</v>
    <v t="r">8</v>
    <v t="s">Chairs</v>
    <v t="s">Product</v>
    <v>5</v>
    <v>116.23</v>
    <v>581.15</v>
    <v t="s">Trevor Munoz, Maryland</v>
    <v t="s">362-353-9229</v>
    <v t="s">Maryland</v>
    <v t="s">Trevor Munoz</v>
    <v>58</v>
    <v t="r">9</v>
    <v t="s">Chairs</v>
    <v t="s">Product</v>
    <v>32</v>
    <v>145.62</v>
    <v>4659.84</v>
    <v t="s">Sharon Colin, Silver Spring</v>
    <v t="s">249-920-8963</v>
    <v t="s">Silver Spring</v>
    <v t="s">Sharon Colin</v>
    <v>59</v>
    <v t="r">10</v>
    <v t="s">Decoration Pieces</v>
    <v t="s">Product</v>
    <v>57</v>
    <v>36.659999999999997</v>
    <v>2089.62</v>
    <v t="s">Laura Thompson, Wilmington</v>
    <v t="s">133-897-5897</v>
    <v t="s">Wilmington</v>
    <v t="s">Laura Thompson</v>
  </a>
  <a r="2">
    <v>1022</v>
    <v>532</v>
  </a>
  <a r="12" c="2">
    <v t="s">Client name</v>
    <v t="s">Total Price</v>
    <v t="s">Cameron Coleman</v>
    <v>12864.14</v>
    <v t="s">Leslie Owenin</v>
    <v>10618.26</v>
    <v t="s">Michelle Garcia</v>
    <v>10345.790000000001</v>
    <v t="s">Thomas Hall</v>
    <v>10202.799999999999</v>
    <v t="s">Michele Wallace</v>
    <v>9758.0400000000009</v>
    <v t="s">...</v>
    <v t="s">...</v>
    <v t="s">Robert Coleman</v>
    <v>745.29</v>
    <v t="s">Trevor Munoz</v>
    <v>581.15</v>
    <v t="s">Kimberly Petty</v>
    <v>444.96</v>
    <v t="s">William Johnson</v>
    <v>184.96</v>
    <v t="s">David Robertson</v>
    <v>179.62</v>
  </a>
  <a r="3" c="2">
    <v t="s">Type</v>
    <v t="s">Total Price</v>
    <v t="s">Product</v>
    <v>137536.12</v>
    <v t="s">Service</v>
    <v>121617.77</v>
  </a>
  <a r="12" c="2">
    <v t="s">City</v>
    <v t="s">Total Price</v>
    <v t="s">Alexandria</v>
    <v>62290.950000000004</v>
    <v t="s">Wilmington</v>
    <v>45096.6</v>
    <v t="s">Silver Spring</v>
    <v>33359.79</v>
    <v t="s">Rockville</v>
    <v>28145.579999999998</v>
    <v t="s">Arlington</v>
    <v>27139.040000000001</v>
    <v t="s">...</v>
    <v t="s">...</v>
    <v t="s">Maryland</v>
    <v>13674.91</v>
    <v t="s">Fairfax</v>
    <v>13108.54</v>
    <v t="s">Brady and Wright, Arlington</v>
    <v>8575.02</v>
    <v t="s">Nguyen and Greene, Washington</v>
    <v>4942.8999999999996</v>
    <v t="s">Smith and Gordon, Washington</v>
    <v>4812.21</v>
  </a>
  <a r="2">
    <v>666</v>
    <v>658</v>
  </a>
</arrayData>
</file>

<file path=xl/richData/rdrichvalue.xml><?xml version="1.0" encoding="utf-8"?>
<rvData xmlns="http://schemas.microsoft.com/office/spreadsheetml/2017/richdata" count="32">
  <rv s="0">
    <fb>45749</fb>
    <v>2</v>
  </rv>
  <rv s="0">
    <fb>45692</fb>
    <v>2</v>
  </rv>
  <rv s="0">
    <fb>45694</fb>
    <v>2</v>
  </rv>
  <rv s="0">
    <fb>0</fb>
    <v>3</v>
  </rv>
  <rv s="0">
    <fb>45695</fb>
    <v>2</v>
  </rv>
  <rv s="0">
    <fb>45696</fb>
    <v>2</v>
  </rv>
  <rv s="0">
    <fb>45793</fb>
    <v>2</v>
  </rv>
  <rv s="0">
    <fb>45794</fb>
    <v>2</v>
  </rv>
  <rv s="0">
    <fb>45795</fb>
    <v>2</v>
  </rv>
  <rv s="0">
    <fb>45796</fb>
    <v>2</v>
  </rv>
  <rv s="0">
    <fb>45802</fb>
    <v>2</v>
  </rv>
  <rv s="1">
    <v>0</v>
  </rv>
  <rv s="2">
    <v>DataFrame</v>
    <v>1</v>
    <v>11</v>
  </rv>
  <rv s="3">
    <v>&lt;class 'pandas.core.frame.DataFrame'&gt;</v>
    <v>DataFrame</v>
    <v xml:space="preserve">         Date               Item     Type  Quantity  Per Unit Price  \
0  2025-04-02              Props  Product      25.0           74.72   
1  2025-02-04             Chairs  Product     100.0           91.84   
2  2025-02-06     Intimate Event  Servi...</v>
    <v>12</v>
    <v>4</v>
  </rv>
  <rv s="4">
    <v>0</v>
    <v>9</v>
  </rv>
  <rv s="1">
    <v>1</v>
  </rv>
  <rv s="5">
    <v>Image</v>
    <v>5</v>
    <v>14</v>
    <v>15</v>
  </rv>
  <rv s="3">
    <v>&lt;class 'PIL.PngImagePlugin.PngImageFile'&gt;</v>
    <v>PngImageFile</v>
    <v>&lt;PIL.PngImagePlugin.PngImageFile image mode=RGBA size=1022x532 at 0x7F8F53BC0440&gt;</v>
    <v>16</v>
    <v>4</v>
  </rv>
  <rv s="1">
    <v>2</v>
  </rv>
  <rv s="2">
    <v>Series</v>
    <v>7</v>
    <v>18</v>
  </rv>
  <rv s="3">
    <v>&lt;class 'pandas.core.series.Series'&gt;</v>
    <v>Series</v>
    <v>Client name
Cameron Coleman        12864.14
Leslie Owenin          10618.26
Michelle Garcia        10345.79
Thomas Hall            10202.80
Michele Wallace         9758.04
Anthony Murphy DVM      9184.00
Gina Pacheco            8798.35
Hayes           ...</v>
    <v>19</v>
    <v>4</v>
  </rv>
  <rv s="1">
    <v>3</v>
  </rv>
  <rv s="2">
    <v>Series</v>
    <v>9</v>
    <v>21</v>
  </rv>
  <rv s="3">
    <v>&lt;class 'pandas.core.series.Series'&gt;</v>
    <v>Series</v>
    <v>Type
Product    137536.12
Service    121617.77
Name: Total Price, dtype: float64</v>
    <v>22</v>
    <v>4</v>
  </rv>
  <rv s="1">
    <v>4</v>
  </rv>
  <rv s="2">
    <v>Series</v>
    <v>11</v>
    <v>24</v>
  </rv>
  <rv s="3">
    <v>&lt;class 'pandas.core.series.Series'&gt;</v>
    <v>Series</v>
    <v>City
Alexandria                       62290.95
Wilmington                       45096.60
Silver Spring                    33359.79
Rockville                        28145.58
Arlington                        27139.04
Washington                       1800...</v>
    <v>25</v>
    <v>4</v>
  </rv>
  <rv s="4">
    <v>1</v>
    <v>9</v>
  </rv>
  <rv s="1">
    <v>5</v>
  </rv>
  <rv s="5">
    <v>Image</v>
    <v>5</v>
    <v>27</v>
    <v>28</v>
  </rv>
  <rv s="3">
    <v>&lt;class 'PIL.PngImagePlugin.PngImageFile'&gt;</v>
    <v>PngImageFile</v>
    <v>&lt;PIL.PngImagePlugin.PngImageFile image mode=RGBA size=666x658 at 0x7F8F53AEA750&gt;</v>
    <v>29</v>
    <v>4</v>
  </rv>
  <rv s="3">
    <v>&lt;class 'PIL.PngImagePlugin.PngImageFile'&gt;</v>
    <v>PngImageFile</v>
    <v>&lt;PIL.PngImagePlugin.PngImageFile image mode=RGBA size=666x658 at 0x7F8F53B50650&gt;</v>
    <v>29</v>
    <v>4</v>
  </rv>
</rvData>
</file>

<file path=xl/richData/rdrichvaluestructure.xml><?xml version="1.0" encoding="utf-8"?>
<rvStructures xmlns="http://schemas.microsoft.com/office/spreadsheetml/2017/richdata" count="6">
  <s t="_formattednumber">
    <k n="_Format" t="spb"/>
  </s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localImage">
    <k n="_rvRel:LocalImageIdentifier" t="i"/>
    <k n="CalcOrigin" t="i"/>
  </s>
  <s t="_entity">
    <k n="_DisplayString" t="s"/>
    <k n="_Format" t="spb"/>
    <k n="image" t="r"/>
    <k n="size" t="r"/>
  </s>
</rvStructures>
</file>

<file path=xl/richData/rdsupportingpropertybag.xml><?xml version="1.0" encoding="utf-8"?>
<supportingPropertyBags xmlns="http://schemas.microsoft.com/office/spreadsheetml/2017/richdata2">
  <spbData count="12">
    <spb s="0">
      <v>60</v>
      <v>10</v>
      <v>DataFrame</v>
      <v>arrayPreview</v>
      <v>1</v>
    </spb>
    <spb s="1">
      <v>0</v>
    </spb>
    <spb s="2">
      <v>1</v>
    </spb>
    <spb s="2">
      <v>2</v>
    </spb>
    <spb s="3">
      <v>https://www.anaconda.com/excel</v>
      <v>https://res.cdn.office.net/officepysvc/prod-service/anacondalogo.png</v>
      <v>Python provided by Anaconda</v>
    </spb>
    <spb s="4">
      <v>3</v>
    </spb>
    <spb s="0">
      <v>60</v>
      <v>1</v>
      <v>Series</v>
      <v>arrayPreview</v>
      <v>1</v>
    </spb>
    <spb s="1">
      <v>6</v>
    </spb>
    <spb s="0">
      <v>2</v>
      <v>1</v>
      <v>Series</v>
      <v>arrayPreview</v>
      <v>1</v>
    </spb>
    <spb s="1">
      <v>8</v>
    </spb>
    <spb s="0">
      <v>11</v>
      <v>1</v>
      <v>Series</v>
      <v>arrayPreview</v>
      <v>1</v>
    </spb>
    <spb s="1">
      <v>10</v>
    </spb>
  </spbData>
</supportingPropertyBags>
</file>

<file path=xl/richData/rdsupportingpropertybagstructure.xml><?xml version="1.0" encoding="utf-8"?>
<spbStructures xmlns="http://schemas.microsoft.com/office/spreadsheetml/2017/richdata2" count="5">
  <s>
    <k n="drw" t="i"/>
    <k n="dcol" t="i"/>
    <k n="name" t="s"/>
    <k n="array" t="s"/>
    <k n="headers" t="b"/>
  </s>
  <s>
    <k n="ArrayCardInfo" t="spb"/>
  </s>
  <s>
    <k n="_Self" t="i"/>
  </s>
  <s>
    <k n="link" t="s"/>
    <k n="logo" t="s"/>
    <k n="name" t="s"/>
  </s>
  <s>
    <k n="imag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m/d/yyyy"/>
    </x:dxf>
    <x:dxf>
      <x:numFmt numFmtId="0" formatCode="General"/>
    </x:dxf>
  </dxfs>
  <richProperties>
    <rPr n="NumberFormat" t="s"/>
    <rPr n="IsHeroField" t="b"/>
  </richProperties>
  <richStyles>
    <rSty dxfid="0"/>
    <rSty dxfid="1">
      <rpv i="0">0;-0;"nan"</rpv>
    </rSty>
    <rSty>
      <rpv i="1">1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1F96CA-BF82-467A-9DEE-1A45408FC4C5}" name="Table1" displayName="Table1" ref="A1:J61" totalsRowShown="0">
  <autoFilter ref="A1:J61" xr:uid="{691F96CA-BF82-467A-9DEE-1A45408FC4C5}"/>
  <tableColumns count="10">
    <tableColumn id="1" xr3:uid="{BED21A0C-E052-41C8-82B2-F2F8F5F79EC5}" name="Date" dataDxfId="8"/>
    <tableColumn id="2" xr3:uid="{303951AC-237F-4F6D-9996-4076F0873F19}" name="Item"/>
    <tableColumn id="3" xr3:uid="{183561B5-AFD3-40C6-BE92-9BA42A39D25C}" name="Type"/>
    <tableColumn id="4" xr3:uid="{8E22B6A0-E20B-4120-ACF8-CF06DD176375}" name="Quantity" dataDxfId="7"/>
    <tableColumn id="5" xr3:uid="{9E44B5C0-4F8D-4E0A-8416-A9B34A886468}" name="Per Unit Price" dataDxfId="6"/>
    <tableColumn id="6" xr3:uid="{FF079DE7-19FD-4248-917F-E5D93244E6E6}" name="Total Price" dataDxfId="5"/>
    <tableColumn id="7" xr3:uid="{A973E7BD-50F8-40DC-A144-3972E098AF68}" name="Client, City"/>
    <tableColumn id="8" xr3:uid="{536E6C29-DE11-4426-A9E7-ACDDAFCA6A74}" name="Client Number" dataDxfId="4"/>
    <tableColumn id="9" xr3:uid="{5DE72EF5-B52C-4851-A911-5C697C24D430}" name="City" dataDxfId="3">
      <calculatedColumnFormula>_xlfn.TEXTAFTER(Table1[[#This Row],[Client, City]],", ")</calculatedColumnFormula>
    </tableColumn>
    <tableColumn id="10" xr3:uid="{75B58563-5046-4BB6-A673-734DC7B644CC}" name="Client name" dataDxfId="2">
      <calculatedColumnFormula>_xlfn.TEXTBEFORE(Table1[[#This Row],[Client, City]],",")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DF1E6-BD6A-400C-AE66-46DA1A2FE201}">
  <dimension ref="A1:J177"/>
  <sheetViews>
    <sheetView tabSelected="1" workbookViewId="0">
      <selection activeCell="L10" sqref="L10"/>
    </sheetView>
  </sheetViews>
  <sheetFormatPr defaultRowHeight="15" x14ac:dyDescent="0.25"/>
  <cols>
    <col min="1" max="1" width="10.42578125" bestFit="1" customWidth="1"/>
    <col min="2" max="2" width="17" bestFit="1" customWidth="1"/>
    <col min="4" max="4" width="10.85546875" customWidth="1"/>
    <col min="5" max="5" width="15.5703125" bestFit="1" customWidth="1"/>
    <col min="6" max="6" width="12.5703125" bestFit="1" customWidth="1"/>
    <col min="7" max="7" width="21.5703125" hidden="1" customWidth="1"/>
    <col min="8" max="8" width="16.42578125" style="3" bestFit="1" customWidth="1"/>
    <col min="9" max="9" width="15.42578125" customWidth="1"/>
    <col min="10" max="10" width="20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</row>
    <row r="2" spans="1:10" x14ac:dyDescent="0.25">
      <c r="A2" s="4">
        <v>45749</v>
      </c>
      <c r="B2" t="s">
        <v>10</v>
      </c>
      <c r="C2" t="s">
        <v>11</v>
      </c>
      <c r="D2" s="7">
        <v>25</v>
      </c>
      <c r="E2" s="5">
        <v>74.72</v>
      </c>
      <c r="F2" s="5">
        <v>1868</v>
      </c>
      <c r="G2" t="s">
        <v>12</v>
      </c>
      <c r="H2" s="6" t="s">
        <v>13</v>
      </c>
      <c r="I2" t="str">
        <f>_xlfn.TEXTAFTER(Table1[[#This Row],[Client, City]],", ")</f>
        <v>Rockville</v>
      </c>
      <c r="J2" t="str">
        <f>_xlfn.TEXTBEFORE(Table1[[#This Row],[Client, City]],",")</f>
        <v>Michael Diaz</v>
      </c>
    </row>
    <row r="3" spans="1:10" x14ac:dyDescent="0.25">
      <c r="A3" s="4">
        <v>45692</v>
      </c>
      <c r="B3" t="s">
        <v>14</v>
      </c>
      <c r="C3" t="s">
        <v>11</v>
      </c>
      <c r="D3" s="7">
        <v>100</v>
      </c>
      <c r="E3" s="5">
        <v>91.84</v>
      </c>
      <c r="F3" s="5">
        <v>9184</v>
      </c>
      <c r="G3" t="s">
        <v>15</v>
      </c>
      <c r="H3" s="6" t="s">
        <v>16</v>
      </c>
      <c r="I3" t="str">
        <f>_xlfn.TEXTAFTER(Table1[[#This Row],[Client, City]],", ")</f>
        <v>Alexandria</v>
      </c>
      <c r="J3" t="str">
        <f>_xlfn.TEXTBEFORE(Table1[[#This Row],[Client, City]],",")</f>
        <v>Anthony Murphy DVM</v>
      </c>
    </row>
    <row r="4" spans="1:10" x14ac:dyDescent="0.25">
      <c r="A4" s="4">
        <v>45694</v>
      </c>
      <c r="B4" t="s">
        <v>17</v>
      </c>
      <c r="C4" t="s">
        <v>18</v>
      </c>
      <c r="D4" s="7"/>
      <c r="E4" s="5"/>
      <c r="F4" s="5">
        <v>7161.53</v>
      </c>
      <c r="G4" t="s">
        <v>19</v>
      </c>
      <c r="H4" s="6" t="s">
        <v>20</v>
      </c>
      <c r="I4" t="str">
        <f>_xlfn.TEXTAFTER(Table1[[#This Row],[Client, City]],", ")</f>
        <v>Silver Spring</v>
      </c>
      <c r="J4" t="str">
        <f>_xlfn.TEXTBEFORE(Table1[[#This Row],[Client, City]],",")</f>
        <v>Daniel Beltrain</v>
      </c>
    </row>
    <row r="5" spans="1:10" x14ac:dyDescent="0.25">
      <c r="A5" s="4">
        <v>45695</v>
      </c>
      <c r="B5" t="s">
        <v>17</v>
      </c>
      <c r="C5" t="s">
        <v>18</v>
      </c>
      <c r="D5" s="7"/>
      <c r="E5" s="5"/>
      <c r="F5" s="5">
        <v>3385.51</v>
      </c>
      <c r="G5" t="s">
        <v>21</v>
      </c>
      <c r="H5" s="6" t="s">
        <v>22</v>
      </c>
      <c r="I5" t="str">
        <f>_xlfn.TEXTAFTER(Table1[[#This Row],[Client, City]],", ")</f>
        <v>Alexandria</v>
      </c>
      <c r="J5" t="str">
        <f>_xlfn.TEXTBEFORE(Table1[[#This Row],[Client, City]],",")</f>
        <v>Daniel Gardner</v>
      </c>
    </row>
    <row r="6" spans="1:10" x14ac:dyDescent="0.25">
      <c r="A6" s="4">
        <v>45696</v>
      </c>
      <c r="B6" t="s">
        <v>23</v>
      </c>
      <c r="C6" t="s">
        <v>11</v>
      </c>
      <c r="D6" s="7">
        <v>47</v>
      </c>
      <c r="E6" s="5">
        <v>19.920000000000002</v>
      </c>
      <c r="F6" s="5">
        <v>936.24</v>
      </c>
      <c r="G6" t="s">
        <v>24</v>
      </c>
      <c r="H6" s="6" t="s">
        <v>25</v>
      </c>
      <c r="I6" t="str">
        <f>_xlfn.TEXTAFTER(Table1[[#This Row],[Client, City]],", ")</f>
        <v>Arlington</v>
      </c>
      <c r="J6" t="str">
        <f>_xlfn.TEXTBEFORE(Table1[[#This Row],[Client, City]],",")</f>
        <v>Scott Jackson</v>
      </c>
    </row>
    <row r="7" spans="1:10" x14ac:dyDescent="0.25">
      <c r="A7" s="4">
        <v>45697</v>
      </c>
      <c r="B7" t="s">
        <v>26</v>
      </c>
      <c r="C7" t="s">
        <v>11</v>
      </c>
      <c r="D7" s="7">
        <v>38</v>
      </c>
      <c r="E7" s="5">
        <v>38.6</v>
      </c>
      <c r="F7" s="5">
        <v>1466.8</v>
      </c>
      <c r="G7" t="s">
        <v>27</v>
      </c>
      <c r="H7" s="6" t="s">
        <v>28</v>
      </c>
      <c r="I7" t="str">
        <f>_xlfn.TEXTAFTER(Table1[[#This Row],[Client, City]],", ")</f>
        <v>Fairfax</v>
      </c>
      <c r="J7" t="str">
        <f>_xlfn.TEXTBEFORE(Table1[[#This Row],[Client, City]],",")</f>
        <v>James Hayes</v>
      </c>
    </row>
    <row r="8" spans="1:10" x14ac:dyDescent="0.25">
      <c r="A8" s="4">
        <v>45698</v>
      </c>
      <c r="B8" t="s">
        <v>17</v>
      </c>
      <c r="C8" t="s">
        <v>18</v>
      </c>
      <c r="D8" s="7"/>
      <c r="E8" s="5"/>
      <c r="F8" s="5">
        <v>4410.76</v>
      </c>
      <c r="G8" t="s">
        <v>29</v>
      </c>
      <c r="H8" s="6" t="s">
        <v>30</v>
      </c>
      <c r="I8" t="str">
        <f>_xlfn.TEXTAFTER(Table1[[#This Row],[Client, City]],", ")</f>
        <v>Alexandria</v>
      </c>
      <c r="J8" t="str">
        <f>_xlfn.TEXTBEFORE(Table1[[#This Row],[Client, City]],",")</f>
        <v>Jane Saunders</v>
      </c>
    </row>
    <row r="9" spans="1:10" x14ac:dyDescent="0.25">
      <c r="A9" s="4">
        <v>45699</v>
      </c>
      <c r="B9" t="s">
        <v>31</v>
      </c>
      <c r="C9" t="s">
        <v>11</v>
      </c>
      <c r="D9" s="7">
        <v>12</v>
      </c>
      <c r="E9" s="5">
        <v>144.51</v>
      </c>
      <c r="F9" s="5">
        <v>1734.12</v>
      </c>
      <c r="G9" t="s">
        <v>32</v>
      </c>
      <c r="H9" s="6" t="s">
        <v>33</v>
      </c>
      <c r="I9" t="str">
        <f>_xlfn.TEXTAFTER(Table1[[#This Row],[Client, City]],", ")</f>
        <v>Wilmington</v>
      </c>
      <c r="J9" t="str">
        <f>_xlfn.TEXTBEFORE(Table1[[#This Row],[Client, City]],",")</f>
        <v>Nathaniel Morris</v>
      </c>
    </row>
    <row r="10" spans="1:10" x14ac:dyDescent="0.25">
      <c r="A10" s="4">
        <v>45700</v>
      </c>
      <c r="B10" t="s">
        <v>17</v>
      </c>
      <c r="C10" t="s">
        <v>18</v>
      </c>
      <c r="D10" s="7"/>
      <c r="E10" s="5"/>
      <c r="F10" s="5">
        <v>1770.88</v>
      </c>
      <c r="G10" t="s">
        <v>34</v>
      </c>
      <c r="H10" s="6" t="s">
        <v>35</v>
      </c>
      <c r="I10" t="str">
        <f>_xlfn.TEXTAFTER(Table1[[#This Row],[Client, City]],", ")</f>
        <v>Washington</v>
      </c>
      <c r="J10" t="str">
        <f>_xlfn.TEXTBEFORE(Table1[[#This Row],[Client, City]],",")</f>
        <v>Lynn Russell</v>
      </c>
    </row>
    <row r="11" spans="1:10" x14ac:dyDescent="0.25">
      <c r="A11" s="4">
        <v>45704</v>
      </c>
      <c r="B11" t="s">
        <v>31</v>
      </c>
      <c r="C11" t="s">
        <v>11</v>
      </c>
      <c r="D11" s="7">
        <v>70</v>
      </c>
      <c r="E11" s="5">
        <v>79.09</v>
      </c>
      <c r="F11" s="5">
        <v>5536.3</v>
      </c>
      <c r="G11" t="s">
        <v>36</v>
      </c>
      <c r="H11" s="6" t="s">
        <v>37</v>
      </c>
      <c r="I11" t="str">
        <f>_xlfn.TEXTAFTER(Table1[[#This Row],[Client, City]],", ")</f>
        <v>Silver Spring</v>
      </c>
      <c r="J11" t="str">
        <f>_xlfn.TEXTBEFORE(Table1[[#This Row],[Client, City]],",")</f>
        <v>Brian Moorin</v>
      </c>
    </row>
    <row r="12" spans="1:10" x14ac:dyDescent="0.25">
      <c r="A12" s="4">
        <v>45705</v>
      </c>
      <c r="B12" t="s">
        <v>10</v>
      </c>
      <c r="C12" t="s">
        <v>11</v>
      </c>
      <c r="D12" s="7">
        <v>13</v>
      </c>
      <c r="E12" s="5">
        <v>57.33</v>
      </c>
      <c r="F12" s="5">
        <v>745.29</v>
      </c>
      <c r="G12" t="s">
        <v>38</v>
      </c>
      <c r="H12" s="6" t="s">
        <v>39</v>
      </c>
      <c r="I12" t="str">
        <f>_xlfn.TEXTAFTER(Table1[[#This Row],[Client, City]],", ")</f>
        <v>Arlington</v>
      </c>
      <c r="J12" t="str">
        <f>_xlfn.TEXTBEFORE(Table1[[#This Row],[Client, City]],",")</f>
        <v>Robert Coleman</v>
      </c>
    </row>
    <row r="13" spans="1:10" x14ac:dyDescent="0.25">
      <c r="A13" s="4">
        <v>45706</v>
      </c>
      <c r="B13" t="s">
        <v>40</v>
      </c>
      <c r="C13" t="s">
        <v>11</v>
      </c>
      <c r="D13" s="7">
        <v>41</v>
      </c>
      <c r="E13" s="5">
        <v>69.22</v>
      </c>
      <c r="F13" s="5">
        <v>2838.02</v>
      </c>
      <c r="G13" t="s">
        <v>41</v>
      </c>
      <c r="H13" s="6" t="s">
        <v>42</v>
      </c>
      <c r="I13" t="str">
        <f>_xlfn.TEXTAFTER(Table1[[#This Row],[Client, City]],", ")</f>
        <v>Washington</v>
      </c>
      <c r="J13" t="str">
        <f>_xlfn.TEXTBEFORE(Table1[[#This Row],[Client, City]],",")</f>
        <v>Cheryl Alvarado</v>
      </c>
    </row>
    <row r="14" spans="1:10" x14ac:dyDescent="0.25">
      <c r="A14" s="4">
        <v>45707</v>
      </c>
      <c r="B14" t="s">
        <v>43</v>
      </c>
      <c r="C14" t="s">
        <v>18</v>
      </c>
      <c r="D14" s="7"/>
      <c r="E14" s="5"/>
      <c r="F14" s="5">
        <v>3500.84</v>
      </c>
      <c r="G14" t="s">
        <v>44</v>
      </c>
      <c r="H14" s="6" t="s">
        <v>45</v>
      </c>
      <c r="I14" t="str">
        <f>_xlfn.TEXTAFTER(Table1[[#This Row],[Client, City]],", ")</f>
        <v>Arlington</v>
      </c>
      <c r="J14" t="str">
        <f>_xlfn.TEXTBEFORE(Table1[[#This Row],[Client, City]],",")</f>
        <v>Marshall PLC</v>
      </c>
    </row>
    <row r="15" spans="1:10" x14ac:dyDescent="0.25">
      <c r="A15" s="4">
        <v>45712</v>
      </c>
      <c r="B15" t="s">
        <v>17</v>
      </c>
      <c r="C15" t="s">
        <v>18</v>
      </c>
      <c r="D15" s="7"/>
      <c r="E15" s="5"/>
      <c r="F15" s="5">
        <v>6482.18</v>
      </c>
      <c r="G15" t="s">
        <v>46</v>
      </c>
      <c r="H15" s="6" t="s">
        <v>47</v>
      </c>
      <c r="I15" t="str">
        <f>_xlfn.TEXTAFTER(Table1[[#This Row],[Client, City]],", ")</f>
        <v>Maryland</v>
      </c>
      <c r="J15" t="str">
        <f>_xlfn.TEXTBEFORE(Table1[[#This Row],[Client, City]],",")</f>
        <v>Joseph Stone</v>
      </c>
    </row>
    <row r="16" spans="1:10" x14ac:dyDescent="0.25">
      <c r="A16" s="4">
        <v>45713</v>
      </c>
      <c r="B16" t="s">
        <v>17</v>
      </c>
      <c r="C16" t="s">
        <v>18</v>
      </c>
      <c r="D16" s="7"/>
      <c r="E16" s="5"/>
      <c r="F16" s="5">
        <v>8798.35</v>
      </c>
      <c r="G16" t="s">
        <v>48</v>
      </c>
      <c r="H16" s="6" t="s">
        <v>49</v>
      </c>
      <c r="I16" t="str">
        <f>_xlfn.TEXTAFTER(Table1[[#This Row],[Client, City]],", ")</f>
        <v>Alexandria</v>
      </c>
      <c r="J16" t="str">
        <f>_xlfn.TEXTBEFORE(Table1[[#This Row],[Client, City]],",")</f>
        <v>Gina Pacheco</v>
      </c>
    </row>
    <row r="17" spans="1:10" x14ac:dyDescent="0.25">
      <c r="A17" s="4">
        <v>45717</v>
      </c>
      <c r="B17" t="s">
        <v>26</v>
      </c>
      <c r="C17" t="s">
        <v>11</v>
      </c>
      <c r="D17" s="7">
        <v>32</v>
      </c>
      <c r="E17" s="5">
        <v>101.76</v>
      </c>
      <c r="F17" s="5">
        <v>3256.32</v>
      </c>
      <c r="G17" t="s">
        <v>50</v>
      </c>
      <c r="H17" s="6" t="s">
        <v>37</v>
      </c>
      <c r="I17" t="str">
        <f>_xlfn.TEXTAFTER(Table1[[#This Row],[Client, City]],", ")</f>
        <v>Alexandria</v>
      </c>
      <c r="J17" t="str">
        <f>_xlfn.TEXTBEFORE(Table1[[#This Row],[Client, City]],",")</f>
        <v>Christopher Rodgers</v>
      </c>
    </row>
    <row r="18" spans="1:10" x14ac:dyDescent="0.25">
      <c r="A18" s="4">
        <v>45718</v>
      </c>
      <c r="B18" t="s">
        <v>26</v>
      </c>
      <c r="C18" t="s">
        <v>11</v>
      </c>
      <c r="D18" s="7">
        <v>82</v>
      </c>
      <c r="E18" s="5">
        <v>47.03</v>
      </c>
      <c r="F18" s="5">
        <v>3856.46</v>
      </c>
      <c r="G18" t="s">
        <v>51</v>
      </c>
      <c r="H18" s="6" t="s">
        <v>52</v>
      </c>
      <c r="I18" t="str">
        <f>_xlfn.TEXTAFTER(Table1[[#This Row],[Client, City]],", ")</f>
        <v>Silver Spring</v>
      </c>
      <c r="J18" t="str">
        <f>_xlfn.TEXTBEFORE(Table1[[#This Row],[Client, City]],",")</f>
        <v>Pamela Kramerin</v>
      </c>
    </row>
    <row r="19" spans="1:10" x14ac:dyDescent="0.25">
      <c r="A19" s="4">
        <v>45719</v>
      </c>
      <c r="B19" t="s">
        <v>23</v>
      </c>
      <c r="C19" t="s">
        <v>11</v>
      </c>
      <c r="D19" s="7">
        <v>14</v>
      </c>
      <c r="E19" s="5">
        <v>109.1</v>
      </c>
      <c r="F19" s="5">
        <v>1527.4</v>
      </c>
      <c r="G19" t="s">
        <v>53</v>
      </c>
      <c r="H19" s="6" t="s">
        <v>54</v>
      </c>
      <c r="I19" t="str">
        <f>_xlfn.TEXTAFTER(Table1[[#This Row],[Client, City]],", ")</f>
        <v>Silver Spring</v>
      </c>
      <c r="J19" t="str">
        <f>_xlfn.TEXTBEFORE(Table1[[#This Row],[Client, City]],",")</f>
        <v>Haley Jonein</v>
      </c>
    </row>
    <row r="20" spans="1:10" x14ac:dyDescent="0.25">
      <c r="A20" s="4">
        <v>45722</v>
      </c>
      <c r="B20" t="s">
        <v>43</v>
      </c>
      <c r="C20" t="s">
        <v>18</v>
      </c>
      <c r="D20" s="7"/>
      <c r="E20" s="5"/>
      <c r="F20" s="5">
        <v>2003.97</v>
      </c>
      <c r="G20" t="s">
        <v>55</v>
      </c>
      <c r="H20" s="6" t="s">
        <v>56</v>
      </c>
      <c r="I20" t="str">
        <f>_xlfn.TEXTAFTER(Table1[[#This Row],[Client, City]],", ")</f>
        <v>Alexandria</v>
      </c>
      <c r="J20" t="str">
        <f>_xlfn.TEXTBEFORE(Table1[[#This Row],[Client, City]],",")</f>
        <v>Hebert Group</v>
      </c>
    </row>
    <row r="21" spans="1:10" x14ac:dyDescent="0.25">
      <c r="A21" s="4">
        <v>45723</v>
      </c>
      <c r="B21" t="s">
        <v>40</v>
      </c>
      <c r="C21" t="s">
        <v>11</v>
      </c>
      <c r="D21" s="7">
        <v>32</v>
      </c>
      <c r="E21" s="5">
        <v>85.49</v>
      </c>
      <c r="F21" s="5">
        <v>2735.68</v>
      </c>
      <c r="G21" t="s">
        <v>57</v>
      </c>
      <c r="H21" s="6" t="s">
        <v>58</v>
      </c>
      <c r="I21" t="str">
        <f>_xlfn.TEXTAFTER(Table1[[#This Row],[Client, City]],", ")</f>
        <v>Washington</v>
      </c>
      <c r="J21" t="str">
        <f>_xlfn.TEXTBEFORE(Table1[[#This Row],[Client, City]],",")</f>
        <v>Elizabeth Zavala</v>
      </c>
    </row>
    <row r="22" spans="1:10" x14ac:dyDescent="0.25">
      <c r="A22" s="4">
        <v>45726</v>
      </c>
      <c r="B22" t="s">
        <v>23</v>
      </c>
      <c r="C22" t="s">
        <v>11</v>
      </c>
      <c r="D22" s="7">
        <v>16</v>
      </c>
      <c r="E22" s="5">
        <v>139.69</v>
      </c>
      <c r="F22" s="5">
        <v>2235.04</v>
      </c>
      <c r="G22" t="s">
        <v>59</v>
      </c>
      <c r="H22" s="6" t="s">
        <v>60</v>
      </c>
      <c r="I22" t="str">
        <f>_xlfn.TEXTAFTER(Table1[[#This Row],[Client, City]],", ")</f>
        <v>Arlington</v>
      </c>
      <c r="J22" t="str">
        <f>_xlfn.TEXTBEFORE(Table1[[#This Row],[Client, City]],",")</f>
        <v>John Sanchez</v>
      </c>
    </row>
    <row r="23" spans="1:10" x14ac:dyDescent="0.25">
      <c r="A23" s="4">
        <v>45727</v>
      </c>
      <c r="B23" t="s">
        <v>23</v>
      </c>
      <c r="C23" t="s">
        <v>11</v>
      </c>
      <c r="D23" s="7">
        <v>92</v>
      </c>
      <c r="E23" s="5">
        <v>110.9</v>
      </c>
      <c r="F23" s="5">
        <v>10202.799999999999</v>
      </c>
      <c r="G23" t="s">
        <v>61</v>
      </c>
      <c r="H23" s="6" t="s">
        <v>62</v>
      </c>
      <c r="I23" t="str">
        <f>_xlfn.TEXTAFTER(Table1[[#This Row],[Client, City]],", ")</f>
        <v>Rockville</v>
      </c>
      <c r="J23" t="str">
        <f>_xlfn.TEXTBEFORE(Table1[[#This Row],[Client, City]],",")</f>
        <v>Thomas Hall</v>
      </c>
    </row>
    <row r="24" spans="1:10" x14ac:dyDescent="0.25">
      <c r="A24" s="4">
        <v>45734</v>
      </c>
      <c r="B24" t="s">
        <v>63</v>
      </c>
      <c r="C24" t="s">
        <v>11</v>
      </c>
      <c r="D24" s="7">
        <v>61</v>
      </c>
      <c r="E24" s="5">
        <v>123.12</v>
      </c>
      <c r="F24" s="5">
        <v>7510.32</v>
      </c>
      <c r="G24" t="s">
        <v>64</v>
      </c>
      <c r="H24" s="6" t="s">
        <v>65</v>
      </c>
      <c r="I24" t="str">
        <f>_xlfn.TEXTAFTER(Table1[[#This Row],[Client, City]],", ")</f>
        <v>Wilmington</v>
      </c>
      <c r="J24" t="str">
        <f>_xlfn.TEXTBEFORE(Table1[[#This Row],[Client, City]],",")</f>
        <v>Jason Fuller</v>
      </c>
    </row>
    <row r="25" spans="1:10" x14ac:dyDescent="0.25">
      <c r="A25" s="4">
        <v>45735</v>
      </c>
      <c r="B25" t="s">
        <v>43</v>
      </c>
      <c r="C25" t="s">
        <v>18</v>
      </c>
      <c r="D25" s="7"/>
      <c r="E25" s="5"/>
      <c r="F25" s="5">
        <v>4812.21</v>
      </c>
      <c r="G25" t="s">
        <v>66</v>
      </c>
      <c r="H25" s="6" t="s">
        <v>67</v>
      </c>
      <c r="I25" t="str">
        <f>_xlfn.TEXTAFTER(Table1[[#This Row],[Client, City]],", ")</f>
        <v>Smith and Gordon, Washington</v>
      </c>
      <c r="J25" t="str">
        <f>_xlfn.TEXTBEFORE(Table1[[#This Row],[Client, City]],",")</f>
        <v>Parker</v>
      </c>
    </row>
    <row r="26" spans="1:10" x14ac:dyDescent="0.25">
      <c r="A26" s="4">
        <v>45736</v>
      </c>
      <c r="B26" t="s">
        <v>43</v>
      </c>
      <c r="C26" t="s">
        <v>18</v>
      </c>
      <c r="D26" s="7"/>
      <c r="E26" s="5"/>
      <c r="F26" s="5">
        <v>3155.07</v>
      </c>
      <c r="G26" t="s">
        <v>68</v>
      </c>
      <c r="H26" s="6" t="s">
        <v>69</v>
      </c>
      <c r="I26" t="str">
        <f>_xlfn.TEXTAFTER(Table1[[#This Row],[Client, City]],", ")</f>
        <v>Arlington</v>
      </c>
      <c r="J26" t="str">
        <f>_xlfn.TEXTBEFORE(Table1[[#This Row],[Client, City]],",")</f>
        <v>Joseph-Robertson</v>
      </c>
    </row>
    <row r="27" spans="1:10" x14ac:dyDescent="0.25">
      <c r="A27" s="4">
        <v>45743</v>
      </c>
      <c r="B27" t="s">
        <v>43</v>
      </c>
      <c r="C27" t="s">
        <v>18</v>
      </c>
      <c r="D27" s="7"/>
      <c r="E27" s="5"/>
      <c r="F27" s="5">
        <v>2285.84</v>
      </c>
      <c r="G27" t="s">
        <v>70</v>
      </c>
      <c r="H27" s="6" t="s">
        <v>71</v>
      </c>
      <c r="I27" t="str">
        <f>_xlfn.TEXTAFTER(Table1[[#This Row],[Client, City]],", ")</f>
        <v>Maryland</v>
      </c>
      <c r="J27" t="str">
        <f>_xlfn.TEXTBEFORE(Table1[[#This Row],[Client, City]],",")</f>
        <v>Dean-Patrick</v>
      </c>
    </row>
    <row r="28" spans="1:10" x14ac:dyDescent="0.25">
      <c r="A28" s="4">
        <v>45744</v>
      </c>
      <c r="B28" t="s">
        <v>17</v>
      </c>
      <c r="C28" t="s">
        <v>18</v>
      </c>
      <c r="D28" s="7"/>
      <c r="E28" s="5"/>
      <c r="F28" s="5">
        <v>4325.74</v>
      </c>
      <c r="G28" t="s">
        <v>72</v>
      </c>
      <c r="H28" s="6" t="s">
        <v>73</v>
      </c>
      <c r="I28" t="str">
        <f>_xlfn.TEXTAFTER(Table1[[#This Row],[Client, City]],", ")</f>
        <v>Maryland</v>
      </c>
      <c r="J28" t="str">
        <f>_xlfn.TEXTBEFORE(Table1[[#This Row],[Client, City]],",")</f>
        <v>Erika Rhodes</v>
      </c>
    </row>
    <row r="29" spans="1:10" x14ac:dyDescent="0.25">
      <c r="A29" s="4">
        <v>45746</v>
      </c>
      <c r="B29" t="s">
        <v>17</v>
      </c>
      <c r="C29" t="s">
        <v>18</v>
      </c>
      <c r="D29" s="7"/>
      <c r="E29" s="5"/>
      <c r="F29" s="5">
        <v>7673.95</v>
      </c>
      <c r="G29" t="s">
        <v>74</v>
      </c>
      <c r="H29" s="6" t="s">
        <v>75</v>
      </c>
      <c r="I29" t="str">
        <f>_xlfn.TEXTAFTER(Table1[[#This Row],[Client, City]],", ")</f>
        <v>Arlington</v>
      </c>
      <c r="J29" t="str">
        <f>_xlfn.TEXTBEFORE(Table1[[#This Row],[Client, City]],",")</f>
        <v>Maria Diaz</v>
      </c>
    </row>
    <row r="30" spans="1:10" x14ac:dyDescent="0.25">
      <c r="A30" s="4">
        <v>45747</v>
      </c>
      <c r="B30" t="s">
        <v>63</v>
      </c>
      <c r="C30" t="s">
        <v>11</v>
      </c>
      <c r="D30" s="7">
        <v>10</v>
      </c>
      <c r="E30" s="5">
        <v>102.58</v>
      </c>
      <c r="F30" s="5">
        <v>1025.8</v>
      </c>
      <c r="G30" t="s">
        <v>76</v>
      </c>
      <c r="H30" s="6" t="s">
        <v>77</v>
      </c>
      <c r="I30" t="str">
        <f>_xlfn.TEXTAFTER(Table1[[#This Row],[Client, City]],", ")</f>
        <v>Rockville</v>
      </c>
      <c r="J30" t="str">
        <f>_xlfn.TEXTBEFORE(Table1[[#This Row],[Client, City]],",")</f>
        <v>Connie Brown</v>
      </c>
    </row>
    <row r="31" spans="1:10" x14ac:dyDescent="0.25">
      <c r="A31" s="4">
        <v>45749</v>
      </c>
      <c r="B31" t="s">
        <v>23</v>
      </c>
      <c r="C31" t="s">
        <v>11</v>
      </c>
      <c r="D31" s="7">
        <v>97</v>
      </c>
      <c r="E31" s="5">
        <v>132.62</v>
      </c>
      <c r="F31" s="5">
        <v>12864.14</v>
      </c>
      <c r="G31" t="s">
        <v>78</v>
      </c>
      <c r="H31" s="6" t="s">
        <v>79</v>
      </c>
      <c r="I31" t="str">
        <f>_xlfn.TEXTAFTER(Table1[[#This Row],[Client, City]],", ")</f>
        <v>Rockville</v>
      </c>
      <c r="J31" t="str">
        <f>_xlfn.TEXTBEFORE(Table1[[#This Row],[Client, City]],",")</f>
        <v>Cameron Coleman</v>
      </c>
    </row>
    <row r="32" spans="1:10" x14ac:dyDescent="0.25">
      <c r="A32" s="4">
        <v>45751</v>
      </c>
      <c r="B32" t="s">
        <v>63</v>
      </c>
      <c r="C32" t="s">
        <v>11</v>
      </c>
      <c r="D32" s="7">
        <v>91</v>
      </c>
      <c r="E32" s="5">
        <v>113.69</v>
      </c>
      <c r="F32" s="5">
        <v>10345.790000000001</v>
      </c>
      <c r="G32" t="s">
        <v>80</v>
      </c>
      <c r="H32" s="6" t="s">
        <v>45</v>
      </c>
      <c r="I32" t="str">
        <f>_xlfn.TEXTAFTER(Table1[[#This Row],[Client, City]],", ")</f>
        <v>Wilmington</v>
      </c>
      <c r="J32" t="str">
        <f>_xlfn.TEXTBEFORE(Table1[[#This Row],[Client, City]],",")</f>
        <v>Michelle Garcia</v>
      </c>
    </row>
    <row r="33" spans="1:10" x14ac:dyDescent="0.25">
      <c r="A33" s="4">
        <v>45752</v>
      </c>
      <c r="B33" t="s">
        <v>26</v>
      </c>
      <c r="C33" t="s">
        <v>11</v>
      </c>
      <c r="D33" s="7">
        <v>18</v>
      </c>
      <c r="E33" s="5">
        <v>44.81</v>
      </c>
      <c r="F33" s="5">
        <v>806.58</v>
      </c>
      <c r="G33" t="s">
        <v>81</v>
      </c>
      <c r="H33" s="6" t="s">
        <v>82</v>
      </c>
      <c r="I33" t="str">
        <f>_xlfn.TEXTAFTER(Table1[[#This Row],[Client, City]],", ")</f>
        <v>Arlington</v>
      </c>
      <c r="J33" t="str">
        <f>_xlfn.TEXTBEFORE(Table1[[#This Row],[Client, City]],",")</f>
        <v>Brian Richardson</v>
      </c>
    </row>
    <row r="34" spans="1:10" x14ac:dyDescent="0.25">
      <c r="A34" s="4">
        <v>45755</v>
      </c>
      <c r="B34" t="s">
        <v>43</v>
      </c>
      <c r="C34" t="s">
        <v>18</v>
      </c>
      <c r="D34" s="7"/>
      <c r="E34" s="5"/>
      <c r="F34" s="5">
        <v>8575.02</v>
      </c>
      <c r="G34" t="s">
        <v>83</v>
      </c>
      <c r="H34" s="6" t="s">
        <v>37</v>
      </c>
      <c r="I34" t="str">
        <f>_xlfn.TEXTAFTER(Table1[[#This Row],[Client, City]],", ")</f>
        <v>Brady and Wright, Arlington</v>
      </c>
      <c r="J34" t="str">
        <f>_xlfn.TEXTBEFORE(Table1[[#This Row],[Client, City]],",")</f>
        <v>Hayes</v>
      </c>
    </row>
    <row r="35" spans="1:10" x14ac:dyDescent="0.25">
      <c r="A35" s="4">
        <v>45756</v>
      </c>
      <c r="B35" t="s">
        <v>23</v>
      </c>
      <c r="C35" t="s">
        <v>11</v>
      </c>
      <c r="D35" s="7">
        <v>76</v>
      </c>
      <c r="E35" s="5">
        <v>37.840000000000003</v>
      </c>
      <c r="F35" s="5">
        <v>2875.84</v>
      </c>
      <c r="G35" t="s">
        <v>84</v>
      </c>
      <c r="H35" s="6" t="s">
        <v>85</v>
      </c>
      <c r="I35" t="str">
        <f>_xlfn.TEXTAFTER(Table1[[#This Row],[Client, City]],", ")</f>
        <v>Alexandria</v>
      </c>
      <c r="J35" t="str">
        <f>_xlfn.TEXTBEFORE(Table1[[#This Row],[Client, City]],",")</f>
        <v>Ariel Roman</v>
      </c>
    </row>
    <row r="36" spans="1:10" x14ac:dyDescent="0.25">
      <c r="A36" s="4">
        <v>45757</v>
      </c>
      <c r="B36" t="s">
        <v>17</v>
      </c>
      <c r="C36" t="s">
        <v>18</v>
      </c>
      <c r="D36" s="7"/>
      <c r="E36" s="5"/>
      <c r="F36" s="5">
        <v>1451.28</v>
      </c>
      <c r="G36" t="s">
        <v>86</v>
      </c>
      <c r="H36" s="6" t="s">
        <v>87</v>
      </c>
      <c r="I36" t="str">
        <f>_xlfn.TEXTAFTER(Table1[[#This Row],[Client, City]],", ")</f>
        <v>Washington</v>
      </c>
      <c r="J36" t="str">
        <f>_xlfn.TEXTBEFORE(Table1[[#This Row],[Client, City]],",")</f>
        <v>Jodi Weaver</v>
      </c>
    </row>
    <row r="37" spans="1:10" x14ac:dyDescent="0.25">
      <c r="A37" s="4">
        <v>45761</v>
      </c>
      <c r="B37" t="s">
        <v>10</v>
      </c>
      <c r="C37" t="s">
        <v>11</v>
      </c>
      <c r="D37" s="7">
        <v>79</v>
      </c>
      <c r="E37" s="5">
        <v>93.23</v>
      </c>
      <c r="F37" s="5">
        <v>7365.17</v>
      </c>
      <c r="G37" t="s">
        <v>88</v>
      </c>
      <c r="H37" s="6" t="s">
        <v>89</v>
      </c>
      <c r="I37" t="str">
        <f>_xlfn.TEXTAFTER(Table1[[#This Row],[Client, City]],", ")</f>
        <v>Wilmington</v>
      </c>
      <c r="J37" t="str">
        <f>_xlfn.TEXTBEFORE(Table1[[#This Row],[Client, City]],",")</f>
        <v>Scott Schmitt</v>
      </c>
    </row>
    <row r="38" spans="1:10" x14ac:dyDescent="0.25">
      <c r="A38" s="4">
        <v>45762</v>
      </c>
      <c r="B38" t="s">
        <v>10</v>
      </c>
      <c r="C38" t="s">
        <v>11</v>
      </c>
      <c r="D38" s="7">
        <v>69</v>
      </c>
      <c r="E38" s="5">
        <v>47.13</v>
      </c>
      <c r="F38" s="5">
        <v>3251.97</v>
      </c>
      <c r="G38" t="s">
        <v>90</v>
      </c>
      <c r="H38" s="6" t="s">
        <v>91</v>
      </c>
      <c r="I38" t="str">
        <f>_xlfn.TEXTAFTER(Table1[[#This Row],[Client, City]],", ")</f>
        <v>Fairfax</v>
      </c>
      <c r="J38" t="str">
        <f>_xlfn.TEXTBEFORE(Table1[[#This Row],[Client, City]],",")</f>
        <v>Cheryl Daniel</v>
      </c>
    </row>
    <row r="39" spans="1:10" x14ac:dyDescent="0.25">
      <c r="A39" s="4">
        <v>45763</v>
      </c>
      <c r="B39" t="s">
        <v>17</v>
      </c>
      <c r="C39" t="s">
        <v>18</v>
      </c>
      <c r="D39" s="7"/>
      <c r="E39" s="5"/>
      <c r="F39" s="5">
        <v>6647.01</v>
      </c>
      <c r="G39" t="s">
        <v>92</v>
      </c>
      <c r="H39" s="6" t="s">
        <v>93</v>
      </c>
      <c r="I39" t="str">
        <f>_xlfn.TEXTAFTER(Table1[[#This Row],[Client, City]],", ")</f>
        <v>Alexandria</v>
      </c>
      <c r="J39" t="str">
        <f>_xlfn.TEXTBEFORE(Table1[[#This Row],[Client, City]],",")</f>
        <v>Michael Turner</v>
      </c>
    </row>
    <row r="40" spans="1:10" x14ac:dyDescent="0.25">
      <c r="A40" s="4">
        <v>45766</v>
      </c>
      <c r="B40" t="s">
        <v>14</v>
      </c>
      <c r="C40" t="s">
        <v>11</v>
      </c>
      <c r="D40" s="7">
        <v>85</v>
      </c>
      <c r="E40" s="5">
        <v>96.59</v>
      </c>
      <c r="F40" s="5">
        <v>8210.15</v>
      </c>
      <c r="G40" t="s">
        <v>94</v>
      </c>
      <c r="H40" s="6" t="s">
        <v>95</v>
      </c>
      <c r="I40" t="str">
        <f>_xlfn.TEXTAFTER(Table1[[#This Row],[Client, City]],", ")</f>
        <v>Fairfax</v>
      </c>
      <c r="J40" t="str">
        <f>_xlfn.TEXTBEFORE(Table1[[#This Row],[Client, City]],",")</f>
        <v>George Mcgee</v>
      </c>
    </row>
    <row r="41" spans="1:10" x14ac:dyDescent="0.25">
      <c r="A41" s="4">
        <v>45767</v>
      </c>
      <c r="B41" t="s">
        <v>17</v>
      </c>
      <c r="C41" t="s">
        <v>18</v>
      </c>
      <c r="D41" s="7"/>
      <c r="E41" s="5"/>
      <c r="F41" s="5">
        <v>2155.52</v>
      </c>
      <c r="G41" t="s">
        <v>96</v>
      </c>
      <c r="H41" s="6" t="s">
        <v>97</v>
      </c>
      <c r="I41" t="str">
        <f>_xlfn.TEXTAFTER(Table1[[#This Row],[Client, City]],", ")</f>
        <v>Washington</v>
      </c>
      <c r="J41" t="str">
        <f>_xlfn.TEXTBEFORE(Table1[[#This Row],[Client, City]],",")</f>
        <v>Krystal Gonzalez</v>
      </c>
    </row>
    <row r="42" spans="1:10" x14ac:dyDescent="0.25">
      <c r="A42" s="4">
        <v>45774</v>
      </c>
      <c r="B42" t="s">
        <v>17</v>
      </c>
      <c r="C42" t="s">
        <v>18</v>
      </c>
      <c r="D42" s="7"/>
      <c r="E42" s="5"/>
      <c r="F42" s="5">
        <v>9758.0400000000009</v>
      </c>
      <c r="G42" t="s">
        <v>98</v>
      </c>
      <c r="H42" s="6" t="s">
        <v>99</v>
      </c>
      <c r="I42" t="str">
        <f>_xlfn.TEXTAFTER(Table1[[#This Row],[Client, City]],", ")</f>
        <v>Alexandria</v>
      </c>
      <c r="J42" t="str">
        <f>_xlfn.TEXTBEFORE(Table1[[#This Row],[Client, City]],",")</f>
        <v>Michele Wallace</v>
      </c>
    </row>
    <row r="43" spans="1:10" x14ac:dyDescent="0.25">
      <c r="A43" s="4">
        <v>45775</v>
      </c>
      <c r="B43" t="s">
        <v>31</v>
      </c>
      <c r="C43" t="s">
        <v>11</v>
      </c>
      <c r="D43" s="7">
        <v>59</v>
      </c>
      <c r="E43" s="5">
        <v>35.69</v>
      </c>
      <c r="F43" s="5">
        <v>2105.71</v>
      </c>
      <c r="G43" t="s">
        <v>100</v>
      </c>
      <c r="H43" s="6" t="s">
        <v>101</v>
      </c>
      <c r="I43" t="str">
        <f>_xlfn.TEXTAFTER(Table1[[#This Row],[Client, City]],", ")</f>
        <v>Washington</v>
      </c>
      <c r="J43" t="str">
        <f>_xlfn.TEXTBEFORE(Table1[[#This Row],[Client, City]],",")</f>
        <v>John Jones</v>
      </c>
    </row>
    <row r="44" spans="1:10" x14ac:dyDescent="0.25">
      <c r="A44" s="4">
        <v>45776</v>
      </c>
      <c r="B44" t="s">
        <v>31</v>
      </c>
      <c r="C44" t="s">
        <v>11</v>
      </c>
      <c r="D44" s="7">
        <v>74</v>
      </c>
      <c r="E44" s="5">
        <v>143.49</v>
      </c>
      <c r="F44" s="5">
        <v>10618.26</v>
      </c>
      <c r="G44" t="s">
        <v>102</v>
      </c>
      <c r="H44" s="6" t="s">
        <v>103</v>
      </c>
      <c r="I44" t="str">
        <f>_xlfn.TEXTAFTER(Table1[[#This Row],[Client, City]],", ")</f>
        <v>Silver Spring</v>
      </c>
      <c r="J44" t="str">
        <f>_xlfn.TEXTBEFORE(Table1[[#This Row],[Client, City]],",")</f>
        <v>Leslie Owenin</v>
      </c>
    </row>
    <row r="45" spans="1:10" x14ac:dyDescent="0.25">
      <c r="A45" s="4">
        <v>45777</v>
      </c>
      <c r="B45" t="s">
        <v>17</v>
      </c>
      <c r="C45" t="s">
        <v>18</v>
      </c>
      <c r="D45" s="7"/>
      <c r="E45" s="5"/>
      <c r="F45" s="5">
        <v>7416.54</v>
      </c>
      <c r="G45" t="s">
        <v>104</v>
      </c>
      <c r="H45" s="6" t="s">
        <v>105</v>
      </c>
      <c r="I45" t="str">
        <f>_xlfn.TEXTAFTER(Table1[[#This Row],[Client, City]],", ")</f>
        <v>Alexandria</v>
      </c>
      <c r="J45" t="str">
        <f>_xlfn.TEXTBEFORE(Table1[[#This Row],[Client, City]],",")</f>
        <v>Rhonda King</v>
      </c>
    </row>
    <row r="46" spans="1:10" x14ac:dyDescent="0.25">
      <c r="A46" s="4">
        <v>45778</v>
      </c>
      <c r="B46" t="s">
        <v>63</v>
      </c>
      <c r="C46" t="s">
        <v>11</v>
      </c>
      <c r="D46" s="7">
        <v>6</v>
      </c>
      <c r="E46" s="5">
        <v>74.16</v>
      </c>
      <c r="F46" s="5">
        <v>444.96</v>
      </c>
      <c r="G46" t="s">
        <v>106</v>
      </c>
      <c r="H46" s="6" t="s">
        <v>89</v>
      </c>
      <c r="I46" t="str">
        <f>_xlfn.TEXTAFTER(Table1[[#This Row],[Client, City]],", ")</f>
        <v>Wilmington</v>
      </c>
      <c r="J46" t="str">
        <f>_xlfn.TEXTBEFORE(Table1[[#This Row],[Client, City]],",")</f>
        <v>Kimberly Petty</v>
      </c>
    </row>
    <row r="47" spans="1:10" x14ac:dyDescent="0.25">
      <c r="A47" s="4">
        <v>45779</v>
      </c>
      <c r="B47" t="s">
        <v>40</v>
      </c>
      <c r="C47" t="s">
        <v>11</v>
      </c>
      <c r="D47" s="7">
        <v>66</v>
      </c>
      <c r="E47" s="5">
        <v>39.92</v>
      </c>
      <c r="F47" s="5">
        <v>2634.72</v>
      </c>
      <c r="G47" t="s">
        <v>107</v>
      </c>
      <c r="H47" s="6" t="s">
        <v>108</v>
      </c>
      <c r="I47" t="str">
        <f>_xlfn.TEXTAFTER(Table1[[#This Row],[Client, City]],", ")</f>
        <v>Alexandria</v>
      </c>
      <c r="J47" t="str">
        <f>_xlfn.TEXTBEFORE(Table1[[#This Row],[Client, City]],",")</f>
        <v>Timothy Mason</v>
      </c>
    </row>
    <row r="48" spans="1:10" x14ac:dyDescent="0.25">
      <c r="A48" s="4">
        <v>45780</v>
      </c>
      <c r="B48" t="s">
        <v>109</v>
      </c>
      <c r="C48" t="s">
        <v>11</v>
      </c>
      <c r="D48" s="7">
        <v>21</v>
      </c>
      <c r="E48" s="5">
        <v>104.04</v>
      </c>
      <c r="F48" s="5">
        <v>2184.84</v>
      </c>
      <c r="G48" t="s">
        <v>110</v>
      </c>
      <c r="H48" s="6">
        <v>905098023</v>
      </c>
      <c r="I48" t="str">
        <f>_xlfn.TEXTAFTER(Table1[[#This Row],[Client, City]],", ")</f>
        <v>Rockville</v>
      </c>
      <c r="J48" t="str">
        <f>_xlfn.TEXTBEFORE(Table1[[#This Row],[Client, City]],",")</f>
        <v>Kimberly Hall</v>
      </c>
    </row>
    <row r="49" spans="1:10" x14ac:dyDescent="0.25">
      <c r="A49" s="4">
        <v>45782</v>
      </c>
      <c r="B49" t="s">
        <v>23</v>
      </c>
      <c r="C49" t="s">
        <v>11</v>
      </c>
      <c r="D49" s="7">
        <v>8</v>
      </c>
      <c r="E49" s="5">
        <v>23.12</v>
      </c>
      <c r="F49" s="5">
        <v>184.96</v>
      </c>
      <c r="G49" t="s">
        <v>111</v>
      </c>
      <c r="H49" s="6" t="s">
        <v>45</v>
      </c>
      <c r="I49" t="str">
        <f>_xlfn.TEXTAFTER(Table1[[#This Row],[Client, City]],", ")</f>
        <v>Arlington</v>
      </c>
      <c r="J49" t="str">
        <f>_xlfn.TEXTBEFORE(Table1[[#This Row],[Client, City]],",")</f>
        <v>William Johnson</v>
      </c>
    </row>
    <row r="50" spans="1:10" x14ac:dyDescent="0.25">
      <c r="A50" s="4">
        <v>45783</v>
      </c>
      <c r="B50" t="s">
        <v>40</v>
      </c>
      <c r="C50" t="s">
        <v>11</v>
      </c>
      <c r="D50" s="7">
        <v>7</v>
      </c>
      <c r="E50" s="5">
        <v>25.66</v>
      </c>
      <c r="F50" s="5">
        <v>179.62</v>
      </c>
      <c r="G50" t="s">
        <v>112</v>
      </c>
      <c r="H50" s="6" t="s">
        <v>113</v>
      </c>
      <c r="I50" t="str">
        <f>_xlfn.TEXTAFTER(Table1[[#This Row],[Client, City]],", ")</f>
        <v>Fairfax</v>
      </c>
      <c r="J50" t="str">
        <f>_xlfn.TEXTBEFORE(Table1[[#This Row],[Client, City]],",")</f>
        <v>David Robertson</v>
      </c>
    </row>
    <row r="51" spans="1:10" x14ac:dyDescent="0.25">
      <c r="A51" s="4">
        <v>45785</v>
      </c>
      <c r="B51" t="s">
        <v>109</v>
      </c>
      <c r="C51" t="s">
        <v>11</v>
      </c>
      <c r="D51" s="7">
        <v>53</v>
      </c>
      <c r="E51" s="5">
        <v>93.42</v>
      </c>
      <c r="F51" s="5">
        <v>4951.26</v>
      </c>
      <c r="G51" t="s">
        <v>114</v>
      </c>
      <c r="H51" s="6" t="s">
        <v>45</v>
      </c>
      <c r="I51" t="str">
        <f>_xlfn.TEXTAFTER(Table1[[#This Row],[Client, City]],", ")</f>
        <v>Washington</v>
      </c>
      <c r="J51" t="str">
        <f>_xlfn.TEXTBEFORE(Table1[[#This Row],[Client, City]],",")</f>
        <v>Diana Yang</v>
      </c>
    </row>
    <row r="52" spans="1:10" x14ac:dyDescent="0.25">
      <c r="A52" s="4">
        <v>45788</v>
      </c>
      <c r="B52" t="s">
        <v>17</v>
      </c>
      <c r="C52" t="s">
        <v>18</v>
      </c>
      <c r="D52" s="7"/>
      <c r="E52" s="5"/>
      <c r="F52" s="5">
        <v>5569.14</v>
      </c>
      <c r="G52" t="s">
        <v>115</v>
      </c>
      <c r="H52" s="6" t="s">
        <v>116</v>
      </c>
      <c r="I52" t="str">
        <f>_xlfn.TEXTAFTER(Table1[[#This Row],[Client, City]],", ")</f>
        <v>Wilmington</v>
      </c>
      <c r="J52" t="str">
        <f>_xlfn.TEXTBEFORE(Table1[[#This Row],[Client, City]],",")</f>
        <v>Herbert Ingram</v>
      </c>
    </row>
    <row r="53" spans="1:10" x14ac:dyDescent="0.25">
      <c r="A53" s="4">
        <v>45789</v>
      </c>
      <c r="B53" t="s">
        <v>43</v>
      </c>
      <c r="C53" t="s">
        <v>18</v>
      </c>
      <c r="D53" s="7"/>
      <c r="E53" s="5"/>
      <c r="F53" s="5">
        <v>4942.8999999999996</v>
      </c>
      <c r="G53" t="s">
        <v>117</v>
      </c>
      <c r="H53" s="6" t="s">
        <v>118</v>
      </c>
      <c r="I53" t="str">
        <f>_xlfn.TEXTAFTER(Table1[[#This Row],[Client, City]],", ")</f>
        <v>Nguyen and Greene, Washington</v>
      </c>
      <c r="J53" t="str">
        <f>_xlfn.TEXTBEFORE(Table1[[#This Row],[Client, City]],",")</f>
        <v>Gonzalez</v>
      </c>
    </row>
    <row r="54" spans="1:10" x14ac:dyDescent="0.25">
      <c r="A54" s="4">
        <v>45790</v>
      </c>
      <c r="B54" t="s">
        <v>17</v>
      </c>
      <c r="C54" t="s">
        <v>18</v>
      </c>
      <c r="D54" s="7"/>
      <c r="E54" s="5"/>
      <c r="F54" s="5">
        <v>6355.32</v>
      </c>
      <c r="G54" t="s">
        <v>119</v>
      </c>
      <c r="H54" s="6" t="s">
        <v>120</v>
      </c>
      <c r="I54" t="str">
        <f>_xlfn.TEXTAFTER(Table1[[#This Row],[Client, City]],", ")</f>
        <v>Arlington</v>
      </c>
      <c r="J54" t="str">
        <f>_xlfn.TEXTBEFORE(Table1[[#This Row],[Client, City]],",")</f>
        <v>Bethany Sanchez</v>
      </c>
    </row>
    <row r="55" spans="1:10" x14ac:dyDescent="0.25">
      <c r="A55" s="4">
        <v>45791</v>
      </c>
      <c r="B55" t="s">
        <v>43</v>
      </c>
      <c r="C55" t="s">
        <v>18</v>
      </c>
      <c r="D55" s="7"/>
      <c r="E55" s="5"/>
      <c r="F55" s="5">
        <v>1919.89</v>
      </c>
      <c r="G55" t="s">
        <v>121</v>
      </c>
      <c r="H55" s="6" t="s">
        <v>122</v>
      </c>
      <c r="I55" t="str">
        <f>_xlfn.TEXTAFTER(Table1[[#This Row],[Client, City]],", ")</f>
        <v>Alexandria</v>
      </c>
      <c r="J55" t="str">
        <f>_xlfn.TEXTBEFORE(Table1[[#This Row],[Client, City]],",")</f>
        <v>Moyer-Alexander</v>
      </c>
    </row>
    <row r="56" spans="1:10" x14ac:dyDescent="0.25">
      <c r="A56" s="4">
        <v>45792</v>
      </c>
      <c r="B56" t="s">
        <v>26</v>
      </c>
      <c r="C56" t="s">
        <v>11</v>
      </c>
      <c r="D56" s="7">
        <v>25</v>
      </c>
      <c r="E56" s="5">
        <v>61.83</v>
      </c>
      <c r="F56" s="5">
        <v>1545.75</v>
      </c>
      <c r="G56" t="s">
        <v>123</v>
      </c>
      <c r="H56" s="6" t="s">
        <v>124</v>
      </c>
      <c r="I56" t="str">
        <f>_xlfn.TEXTAFTER(Table1[[#This Row],[Client, City]],", ")</f>
        <v>Arlington</v>
      </c>
      <c r="J56" t="str">
        <f>_xlfn.TEXTBEFORE(Table1[[#This Row],[Client, City]],",")</f>
        <v>Paula Gilbert</v>
      </c>
    </row>
    <row r="57" spans="1:10" x14ac:dyDescent="0.25">
      <c r="A57" s="4">
        <v>45793</v>
      </c>
      <c r="B57" t="s">
        <v>17</v>
      </c>
      <c r="C57" t="s">
        <v>18</v>
      </c>
      <c r="D57" s="7"/>
      <c r="E57" s="5"/>
      <c r="F57" s="5">
        <v>7060.28</v>
      </c>
      <c r="G57" t="s">
        <v>125</v>
      </c>
      <c r="H57" s="6" t="s">
        <v>126</v>
      </c>
      <c r="I57" t="str">
        <f>_xlfn.TEXTAFTER(Table1[[#This Row],[Client, City]],", ")</f>
        <v>Wilmington</v>
      </c>
      <c r="J57" t="str">
        <f>_xlfn.TEXTBEFORE(Table1[[#This Row],[Client, City]],",")</f>
        <v>Brian Rivers</v>
      </c>
    </row>
    <row r="58" spans="1:10" x14ac:dyDescent="0.25">
      <c r="A58" s="4">
        <v>45794</v>
      </c>
      <c r="B58" t="s">
        <v>23</v>
      </c>
      <c r="C58" t="s">
        <v>11</v>
      </c>
      <c r="D58" s="7">
        <v>45</v>
      </c>
      <c r="E58" s="5">
        <v>66.16</v>
      </c>
      <c r="F58" s="5">
        <v>2977.2</v>
      </c>
      <c r="G58" t="s">
        <v>127</v>
      </c>
      <c r="H58" s="6" t="s">
        <v>128</v>
      </c>
      <c r="I58" t="str">
        <f>_xlfn.TEXTAFTER(Table1[[#This Row],[Client, City]],", ")</f>
        <v>Wilmington</v>
      </c>
      <c r="J58" t="str">
        <f>_xlfn.TEXTBEFORE(Table1[[#This Row],[Client, City]],",")</f>
        <v>Lisa Jackson</v>
      </c>
    </row>
    <row r="59" spans="1:10" x14ac:dyDescent="0.25">
      <c r="A59" s="4">
        <v>45795</v>
      </c>
      <c r="B59" t="s">
        <v>14</v>
      </c>
      <c r="C59" t="s">
        <v>11</v>
      </c>
      <c r="D59" s="7">
        <v>5</v>
      </c>
      <c r="E59" s="5">
        <v>116.23</v>
      </c>
      <c r="F59" s="5">
        <v>581.15</v>
      </c>
      <c r="G59" t="s">
        <v>129</v>
      </c>
      <c r="H59" s="6" t="s">
        <v>45</v>
      </c>
      <c r="I59" t="str">
        <f>_xlfn.TEXTAFTER(Table1[[#This Row],[Client, City]],", ")</f>
        <v>Maryland</v>
      </c>
      <c r="J59" t="str">
        <f>_xlfn.TEXTBEFORE(Table1[[#This Row],[Client, City]],",")</f>
        <v>Trevor Munoz</v>
      </c>
    </row>
    <row r="60" spans="1:10" x14ac:dyDescent="0.25">
      <c r="A60" s="4">
        <v>45796</v>
      </c>
      <c r="B60" t="s">
        <v>14</v>
      </c>
      <c r="C60" t="s">
        <v>11</v>
      </c>
      <c r="D60" s="7">
        <v>32</v>
      </c>
      <c r="E60" s="5">
        <v>145.62</v>
      </c>
      <c r="F60" s="5">
        <v>4659.84</v>
      </c>
      <c r="G60" t="s">
        <v>130</v>
      </c>
      <c r="H60" s="6" t="s">
        <v>131</v>
      </c>
      <c r="I60" t="str">
        <f>_xlfn.TEXTAFTER(Table1[[#This Row],[Client, City]],", ")</f>
        <v>Silver Spring</v>
      </c>
      <c r="J60" t="str">
        <f>_xlfn.TEXTBEFORE(Table1[[#This Row],[Client, City]],",")</f>
        <v>Sharon Colin</v>
      </c>
    </row>
    <row r="61" spans="1:10" x14ac:dyDescent="0.25">
      <c r="A61" s="4">
        <v>45802</v>
      </c>
      <c r="B61" t="s">
        <v>40</v>
      </c>
      <c r="C61" t="s">
        <v>11</v>
      </c>
      <c r="D61" s="7">
        <v>57</v>
      </c>
      <c r="E61" s="5">
        <v>36.659999999999997</v>
      </c>
      <c r="F61" s="5">
        <v>2089.62</v>
      </c>
      <c r="G61" t="s">
        <v>132</v>
      </c>
      <c r="H61" s="6" t="s">
        <v>133</v>
      </c>
      <c r="I61" t="str">
        <f>_xlfn.TEXTAFTER(Table1[[#This Row],[Client, City]],", ")</f>
        <v>Wilmington</v>
      </c>
      <c r="J61" t="str">
        <f>_xlfn.TEXTBEFORE(Table1[[#This Row],[Client, City]],",")</f>
        <v>Laura Thompson</v>
      </c>
    </row>
    <row r="62" spans="1:10" x14ac:dyDescent="0.25">
      <c r="A62" s="2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</sheetData>
  <conditionalFormatting sqref="A2:J61">
    <cfRule type="expression" dxfId="1" priority="3">
      <formula>$D2 &gt; 50</formula>
    </cfRule>
  </conditionalFormatting>
  <conditionalFormatting sqref="F2:F61">
    <cfRule type="cellIs" dxfId="0" priority="2" operator="greaterThan">
      <formula>5000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6D1C4-0319-4BB7-AD23-8264DCAE11D0}">
  <dimension ref="A1:H61"/>
  <sheetViews>
    <sheetView workbookViewId="0">
      <selection sqref="A1:H6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134</v>
      </c>
      <c r="B2" t="s">
        <v>10</v>
      </c>
      <c r="C2" t="s">
        <v>11</v>
      </c>
      <c r="D2">
        <v>25</v>
      </c>
      <c r="E2">
        <v>74.72</v>
      </c>
      <c r="F2">
        <v>1868</v>
      </c>
      <c r="G2" t="s">
        <v>12</v>
      </c>
      <c r="H2" t="s">
        <v>13</v>
      </c>
    </row>
    <row r="3" spans="1:8" x14ac:dyDescent="0.25">
      <c r="A3">
        <v>45711</v>
      </c>
      <c r="B3" t="s">
        <v>14</v>
      </c>
      <c r="C3" t="s">
        <v>11</v>
      </c>
      <c r="D3">
        <v>100</v>
      </c>
      <c r="E3">
        <v>91.84</v>
      </c>
      <c r="F3">
        <v>9184</v>
      </c>
      <c r="G3" t="s">
        <v>15</v>
      </c>
      <c r="H3" t="s">
        <v>16</v>
      </c>
    </row>
    <row r="4" spans="1:8" x14ac:dyDescent="0.25">
      <c r="A4">
        <v>45715</v>
      </c>
      <c r="B4" t="s">
        <v>17</v>
      </c>
      <c r="C4" t="s">
        <v>18</v>
      </c>
      <c r="F4">
        <v>7161.53</v>
      </c>
      <c r="G4" t="s">
        <v>19</v>
      </c>
      <c r="H4" t="s">
        <v>20</v>
      </c>
    </row>
    <row r="5" spans="1:8" x14ac:dyDescent="0.25">
      <c r="A5">
        <v>45715</v>
      </c>
      <c r="B5" t="s">
        <v>17</v>
      </c>
      <c r="C5" t="s">
        <v>18</v>
      </c>
      <c r="F5">
        <v>3385.51</v>
      </c>
      <c r="G5" t="s">
        <v>21</v>
      </c>
      <c r="H5" t="s">
        <v>22</v>
      </c>
    </row>
    <row r="6" spans="1:8" x14ac:dyDescent="0.25">
      <c r="A6">
        <v>45715</v>
      </c>
      <c r="B6" t="s">
        <v>23</v>
      </c>
      <c r="C6" t="s">
        <v>11</v>
      </c>
      <c r="D6">
        <v>47</v>
      </c>
      <c r="E6">
        <v>19.920000000000002</v>
      </c>
      <c r="F6">
        <v>936.24</v>
      </c>
      <c r="G6" t="s">
        <v>24</v>
      </c>
      <c r="H6" t="s">
        <v>25</v>
      </c>
    </row>
    <row r="7" spans="1:8" x14ac:dyDescent="0.25">
      <c r="A7">
        <v>45716</v>
      </c>
      <c r="B7" t="s">
        <v>26</v>
      </c>
      <c r="C7" t="s">
        <v>11</v>
      </c>
      <c r="D7">
        <v>38</v>
      </c>
      <c r="E7">
        <v>38.6</v>
      </c>
      <c r="F7">
        <v>1466.8</v>
      </c>
      <c r="G7" t="s">
        <v>27</v>
      </c>
      <c r="H7" t="s">
        <v>28</v>
      </c>
    </row>
    <row r="8" spans="1:8" x14ac:dyDescent="0.25">
      <c r="A8">
        <v>45719</v>
      </c>
      <c r="B8" t="s">
        <v>17</v>
      </c>
      <c r="C8" t="s">
        <v>18</v>
      </c>
      <c r="F8">
        <v>4410.76</v>
      </c>
      <c r="G8" t="s">
        <v>29</v>
      </c>
      <c r="H8" t="s">
        <v>30</v>
      </c>
    </row>
    <row r="9" spans="1:8" x14ac:dyDescent="0.25">
      <c r="A9">
        <v>45719</v>
      </c>
      <c r="B9" t="s">
        <v>31</v>
      </c>
      <c r="C9" t="s">
        <v>11</v>
      </c>
      <c r="D9">
        <v>12</v>
      </c>
      <c r="E9">
        <v>144.51</v>
      </c>
      <c r="F9">
        <v>1734.12</v>
      </c>
      <c r="G9" t="s">
        <v>32</v>
      </c>
      <c r="H9" t="s">
        <v>33</v>
      </c>
    </row>
    <row r="10" spans="1:8" x14ac:dyDescent="0.25">
      <c r="A10">
        <v>45721</v>
      </c>
      <c r="B10" t="s">
        <v>17</v>
      </c>
      <c r="C10" t="s">
        <v>18</v>
      </c>
      <c r="F10">
        <v>1770.88</v>
      </c>
      <c r="G10" t="s">
        <v>34</v>
      </c>
      <c r="H10" t="s">
        <v>35</v>
      </c>
    </row>
    <row r="11" spans="1:8" x14ac:dyDescent="0.25">
      <c r="A11">
        <v>45722</v>
      </c>
      <c r="B11" t="s">
        <v>31</v>
      </c>
      <c r="C11" t="s">
        <v>11</v>
      </c>
      <c r="D11">
        <v>70</v>
      </c>
      <c r="E11">
        <v>79.09</v>
      </c>
      <c r="F11">
        <v>5536.3</v>
      </c>
      <c r="G11" t="s">
        <v>36</v>
      </c>
      <c r="H11" t="s">
        <v>37</v>
      </c>
    </row>
    <row r="12" spans="1:8" x14ac:dyDescent="0.25">
      <c r="A12">
        <v>45723</v>
      </c>
      <c r="B12" t="s">
        <v>10</v>
      </c>
      <c r="C12" t="s">
        <v>11</v>
      </c>
      <c r="D12">
        <v>13</v>
      </c>
      <c r="E12">
        <v>57.33</v>
      </c>
      <c r="F12">
        <v>745.29</v>
      </c>
      <c r="G12" t="s">
        <v>38</v>
      </c>
      <c r="H12" t="s">
        <v>39</v>
      </c>
    </row>
    <row r="13" spans="1:8" x14ac:dyDescent="0.25">
      <c r="A13">
        <v>45723</v>
      </c>
      <c r="B13" t="s">
        <v>40</v>
      </c>
      <c r="C13" t="s">
        <v>11</v>
      </c>
      <c r="D13">
        <v>41</v>
      </c>
      <c r="E13">
        <v>69.22</v>
      </c>
      <c r="F13">
        <v>2838.02</v>
      </c>
      <c r="G13" t="s">
        <v>41</v>
      </c>
      <c r="H13" t="s">
        <v>42</v>
      </c>
    </row>
    <row r="14" spans="1:8" x14ac:dyDescent="0.25">
      <c r="A14">
        <v>45724</v>
      </c>
      <c r="B14" t="s">
        <v>43</v>
      </c>
      <c r="C14" t="s">
        <v>18</v>
      </c>
      <c r="F14">
        <v>3500.84</v>
      </c>
      <c r="G14" t="s">
        <v>44</v>
      </c>
      <c r="H14" t="s">
        <v>45</v>
      </c>
    </row>
    <row r="15" spans="1:8" x14ac:dyDescent="0.25">
      <c r="A15">
        <v>45724</v>
      </c>
      <c r="B15" t="s">
        <v>17</v>
      </c>
      <c r="C15" t="s">
        <v>18</v>
      </c>
      <c r="F15">
        <v>6482.18</v>
      </c>
      <c r="G15" t="s">
        <v>46</v>
      </c>
      <c r="H15" t="s">
        <v>47</v>
      </c>
    </row>
    <row r="16" spans="1:8" x14ac:dyDescent="0.25">
      <c r="A16">
        <v>45725</v>
      </c>
      <c r="B16" t="s">
        <v>17</v>
      </c>
      <c r="C16" t="s">
        <v>18</v>
      </c>
      <c r="F16">
        <v>8798.35</v>
      </c>
      <c r="G16" t="s">
        <v>48</v>
      </c>
      <c r="H16" t="s">
        <v>49</v>
      </c>
    </row>
    <row r="17" spans="1:8" x14ac:dyDescent="0.25">
      <c r="A17">
        <v>45726</v>
      </c>
      <c r="B17" t="s">
        <v>26</v>
      </c>
      <c r="C17" t="s">
        <v>11</v>
      </c>
      <c r="D17">
        <v>32</v>
      </c>
      <c r="E17">
        <v>101.76</v>
      </c>
      <c r="F17">
        <v>3256.32</v>
      </c>
      <c r="G17" t="s">
        <v>50</v>
      </c>
      <c r="H17" t="s">
        <v>37</v>
      </c>
    </row>
    <row r="18" spans="1:8" x14ac:dyDescent="0.25">
      <c r="A18">
        <v>45727</v>
      </c>
      <c r="B18" t="s">
        <v>26</v>
      </c>
      <c r="C18" t="s">
        <v>11</v>
      </c>
      <c r="D18">
        <v>82</v>
      </c>
      <c r="E18">
        <v>47.03</v>
      </c>
      <c r="F18">
        <v>3856.46</v>
      </c>
      <c r="G18" t="s">
        <v>51</v>
      </c>
      <c r="H18" t="s">
        <v>52</v>
      </c>
    </row>
    <row r="19" spans="1:8" x14ac:dyDescent="0.25">
      <c r="A19">
        <v>45728</v>
      </c>
      <c r="B19" t="s">
        <v>23</v>
      </c>
      <c r="C19" t="s">
        <v>11</v>
      </c>
      <c r="D19">
        <v>14</v>
      </c>
      <c r="E19">
        <v>109.1</v>
      </c>
      <c r="F19">
        <v>1527.4</v>
      </c>
      <c r="G19" t="s">
        <v>53</v>
      </c>
      <c r="H19" t="s">
        <v>54</v>
      </c>
    </row>
    <row r="20" spans="1:8" x14ac:dyDescent="0.25">
      <c r="A20">
        <v>45729</v>
      </c>
      <c r="B20" t="s">
        <v>43</v>
      </c>
      <c r="C20" t="s">
        <v>18</v>
      </c>
      <c r="F20">
        <v>2003.97</v>
      </c>
      <c r="G20" t="s">
        <v>55</v>
      </c>
      <c r="H20" t="s">
        <v>56</v>
      </c>
    </row>
    <row r="21" spans="1:8" x14ac:dyDescent="0.25">
      <c r="A21">
        <v>45730</v>
      </c>
      <c r="B21" t="s">
        <v>40</v>
      </c>
      <c r="C21" t="s">
        <v>11</v>
      </c>
      <c r="D21">
        <v>32</v>
      </c>
      <c r="E21">
        <v>85.49</v>
      </c>
      <c r="F21">
        <v>2735.68</v>
      </c>
      <c r="G21" t="s">
        <v>57</v>
      </c>
      <c r="H21" t="s">
        <v>58</v>
      </c>
    </row>
    <row r="22" spans="1:8" x14ac:dyDescent="0.25">
      <c r="A22">
        <v>45733</v>
      </c>
      <c r="B22" t="s">
        <v>23</v>
      </c>
      <c r="C22" t="s">
        <v>11</v>
      </c>
      <c r="D22">
        <v>16</v>
      </c>
      <c r="E22">
        <v>139.69</v>
      </c>
      <c r="F22">
        <v>2235.04</v>
      </c>
      <c r="G22" t="s">
        <v>59</v>
      </c>
      <c r="H22" t="s">
        <v>60</v>
      </c>
    </row>
    <row r="23" spans="1:8" x14ac:dyDescent="0.25">
      <c r="A23">
        <v>45735</v>
      </c>
      <c r="B23" t="s">
        <v>23</v>
      </c>
      <c r="C23" t="s">
        <v>11</v>
      </c>
      <c r="D23">
        <v>92</v>
      </c>
      <c r="E23">
        <v>110.9</v>
      </c>
      <c r="F23">
        <v>10202.799999999999</v>
      </c>
      <c r="G23" t="s">
        <v>61</v>
      </c>
      <c r="H23" t="s">
        <v>62</v>
      </c>
    </row>
    <row r="24" spans="1:8" x14ac:dyDescent="0.25">
      <c r="A24">
        <v>45736</v>
      </c>
      <c r="B24" t="s">
        <v>63</v>
      </c>
      <c r="C24" t="s">
        <v>11</v>
      </c>
      <c r="D24">
        <v>61</v>
      </c>
      <c r="E24">
        <v>123.12</v>
      </c>
      <c r="F24">
        <v>7510.32</v>
      </c>
      <c r="G24" t="s">
        <v>64</v>
      </c>
      <c r="H24" t="s">
        <v>65</v>
      </c>
    </row>
    <row r="25" spans="1:8" x14ac:dyDescent="0.25">
      <c r="A25" t="s">
        <v>135</v>
      </c>
      <c r="B25" t="s">
        <v>43</v>
      </c>
      <c r="C25" t="s">
        <v>18</v>
      </c>
      <c r="F25">
        <v>4812.21</v>
      </c>
      <c r="G25" t="s">
        <v>66</v>
      </c>
      <c r="H25" t="s">
        <v>67</v>
      </c>
    </row>
    <row r="26" spans="1:8" x14ac:dyDescent="0.25">
      <c r="A26">
        <v>45738</v>
      </c>
      <c r="B26" t="s">
        <v>43</v>
      </c>
      <c r="C26" t="s">
        <v>18</v>
      </c>
      <c r="F26">
        <v>3155.07</v>
      </c>
      <c r="G26" t="s">
        <v>68</v>
      </c>
      <c r="H26" t="s">
        <v>69</v>
      </c>
    </row>
    <row r="27" spans="1:8" x14ac:dyDescent="0.25">
      <c r="A27">
        <v>45740</v>
      </c>
      <c r="B27" t="s">
        <v>43</v>
      </c>
      <c r="C27" t="s">
        <v>18</v>
      </c>
      <c r="F27">
        <v>2285.84</v>
      </c>
      <c r="G27" t="s">
        <v>70</v>
      </c>
      <c r="H27" t="s">
        <v>71</v>
      </c>
    </row>
    <row r="28" spans="1:8" x14ac:dyDescent="0.25">
      <c r="A28">
        <v>45741</v>
      </c>
      <c r="B28" t="s">
        <v>17</v>
      </c>
      <c r="C28" t="s">
        <v>18</v>
      </c>
      <c r="F28">
        <v>4325.74</v>
      </c>
      <c r="G28" t="s">
        <v>72</v>
      </c>
      <c r="H28" t="s">
        <v>73</v>
      </c>
    </row>
    <row r="29" spans="1:8" x14ac:dyDescent="0.25">
      <c r="A29">
        <v>45742</v>
      </c>
      <c r="B29" t="s">
        <v>17</v>
      </c>
      <c r="C29" t="s">
        <v>18</v>
      </c>
      <c r="F29">
        <v>7673.95</v>
      </c>
      <c r="G29" t="s">
        <v>74</v>
      </c>
      <c r="H29" t="s">
        <v>75</v>
      </c>
    </row>
    <row r="30" spans="1:8" x14ac:dyDescent="0.25">
      <c r="A30">
        <v>45743</v>
      </c>
      <c r="B30" t="s">
        <v>63</v>
      </c>
      <c r="C30" t="s">
        <v>11</v>
      </c>
      <c r="D30">
        <v>10</v>
      </c>
      <c r="E30">
        <v>102.58</v>
      </c>
      <c r="F30">
        <v>1025.8</v>
      </c>
      <c r="G30" t="s">
        <v>76</v>
      </c>
      <c r="H30" t="s">
        <v>77</v>
      </c>
    </row>
    <row r="31" spans="1:8" x14ac:dyDescent="0.25">
      <c r="A31">
        <v>45743</v>
      </c>
      <c r="B31" t="s">
        <v>23</v>
      </c>
      <c r="C31" t="s">
        <v>11</v>
      </c>
      <c r="D31">
        <v>97</v>
      </c>
      <c r="E31">
        <v>132.62</v>
      </c>
      <c r="F31">
        <v>12864.14</v>
      </c>
      <c r="G31" t="s">
        <v>78</v>
      </c>
      <c r="H31" t="s">
        <v>79</v>
      </c>
    </row>
    <row r="32" spans="1:8" x14ac:dyDescent="0.25">
      <c r="A32">
        <v>45744</v>
      </c>
      <c r="B32" t="s">
        <v>63</v>
      </c>
      <c r="C32" t="s">
        <v>11</v>
      </c>
      <c r="D32">
        <v>91</v>
      </c>
      <c r="E32">
        <v>113.69</v>
      </c>
      <c r="F32">
        <v>10345.790000000001</v>
      </c>
      <c r="G32" t="s">
        <v>80</v>
      </c>
      <c r="H32" t="s">
        <v>45</v>
      </c>
    </row>
    <row r="33" spans="1:8" x14ac:dyDescent="0.25">
      <c r="A33">
        <v>45745</v>
      </c>
      <c r="B33" t="s">
        <v>26</v>
      </c>
      <c r="C33" t="s">
        <v>11</v>
      </c>
      <c r="D33">
        <v>18</v>
      </c>
      <c r="E33">
        <v>44.81</v>
      </c>
      <c r="F33">
        <v>806.58</v>
      </c>
      <c r="G33" t="s">
        <v>81</v>
      </c>
      <c r="H33" t="s">
        <v>82</v>
      </c>
    </row>
    <row r="34" spans="1:8" x14ac:dyDescent="0.25">
      <c r="A34">
        <v>45746</v>
      </c>
      <c r="B34" t="s">
        <v>43</v>
      </c>
      <c r="C34" t="s">
        <v>18</v>
      </c>
      <c r="F34">
        <v>8575.02</v>
      </c>
      <c r="G34" t="s">
        <v>83</v>
      </c>
      <c r="H34" t="s">
        <v>37</v>
      </c>
    </row>
    <row r="35" spans="1:8" x14ac:dyDescent="0.25">
      <c r="A35">
        <v>45748</v>
      </c>
      <c r="B35" t="s">
        <v>23</v>
      </c>
      <c r="C35" t="s">
        <v>11</v>
      </c>
      <c r="D35">
        <v>76</v>
      </c>
      <c r="E35">
        <v>37.840000000000003</v>
      </c>
      <c r="F35">
        <v>2875.84</v>
      </c>
      <c r="G35" t="s">
        <v>84</v>
      </c>
      <c r="H35" t="s">
        <v>85</v>
      </c>
    </row>
    <row r="36" spans="1:8" x14ac:dyDescent="0.25">
      <c r="A36">
        <v>45749</v>
      </c>
      <c r="B36" t="s">
        <v>17</v>
      </c>
      <c r="C36" t="s">
        <v>18</v>
      </c>
      <c r="F36">
        <v>1451.28</v>
      </c>
      <c r="G36" t="s">
        <v>86</v>
      </c>
      <c r="H36" t="s">
        <v>87</v>
      </c>
    </row>
    <row r="37" spans="1:8" x14ac:dyDescent="0.25">
      <c r="A37">
        <v>45749</v>
      </c>
      <c r="B37" t="s">
        <v>10</v>
      </c>
      <c r="C37" t="s">
        <v>11</v>
      </c>
      <c r="D37">
        <v>79</v>
      </c>
      <c r="E37">
        <v>93.23</v>
      </c>
      <c r="F37">
        <v>7365.17</v>
      </c>
      <c r="G37" t="s">
        <v>88</v>
      </c>
      <c r="H37" t="s">
        <v>89</v>
      </c>
    </row>
    <row r="38" spans="1:8" x14ac:dyDescent="0.25">
      <c r="A38" t="s">
        <v>136</v>
      </c>
      <c r="B38" t="s">
        <v>10</v>
      </c>
      <c r="C38" t="s">
        <v>11</v>
      </c>
      <c r="D38">
        <v>69</v>
      </c>
      <c r="E38">
        <v>47.13</v>
      </c>
      <c r="F38">
        <v>3251.97</v>
      </c>
      <c r="G38" t="s">
        <v>90</v>
      </c>
      <c r="H38" t="s">
        <v>91</v>
      </c>
    </row>
    <row r="39" spans="1:8" x14ac:dyDescent="0.25">
      <c r="A39">
        <v>45753</v>
      </c>
      <c r="B39" t="s">
        <v>17</v>
      </c>
      <c r="C39" t="s">
        <v>18</v>
      </c>
      <c r="F39">
        <v>6647.01</v>
      </c>
      <c r="G39" t="s">
        <v>92</v>
      </c>
      <c r="H39" t="s">
        <v>93</v>
      </c>
    </row>
    <row r="40" spans="1:8" x14ac:dyDescent="0.25">
      <c r="A40">
        <v>45758</v>
      </c>
      <c r="B40" t="s">
        <v>14</v>
      </c>
      <c r="C40" t="s">
        <v>11</v>
      </c>
      <c r="D40">
        <v>85</v>
      </c>
      <c r="E40">
        <v>96.59</v>
      </c>
      <c r="F40">
        <v>8210.15</v>
      </c>
      <c r="G40" t="s">
        <v>94</v>
      </c>
      <c r="H40" t="s">
        <v>95</v>
      </c>
    </row>
    <row r="41" spans="1:8" x14ac:dyDescent="0.25">
      <c r="A41">
        <v>45761</v>
      </c>
      <c r="B41" t="s">
        <v>17</v>
      </c>
      <c r="C41" t="s">
        <v>18</v>
      </c>
      <c r="F41">
        <v>2155.52</v>
      </c>
      <c r="G41" t="s">
        <v>96</v>
      </c>
      <c r="H41" t="s">
        <v>97</v>
      </c>
    </row>
    <row r="42" spans="1:8" x14ac:dyDescent="0.25">
      <c r="A42">
        <v>45765</v>
      </c>
      <c r="B42" t="s">
        <v>17</v>
      </c>
      <c r="C42" t="s">
        <v>18</v>
      </c>
      <c r="F42">
        <v>9758.0400000000009</v>
      </c>
      <c r="G42" t="s">
        <v>98</v>
      </c>
      <c r="H42" t="s">
        <v>99</v>
      </c>
    </row>
    <row r="43" spans="1:8" x14ac:dyDescent="0.25">
      <c r="A43">
        <v>45765</v>
      </c>
      <c r="B43" t="s">
        <v>31</v>
      </c>
      <c r="C43" t="s">
        <v>11</v>
      </c>
      <c r="D43">
        <v>59</v>
      </c>
      <c r="E43">
        <v>35.69</v>
      </c>
      <c r="F43">
        <v>2105.71</v>
      </c>
      <c r="G43" t="s">
        <v>100</v>
      </c>
      <c r="H43" t="s">
        <v>101</v>
      </c>
    </row>
    <row r="44" spans="1:8" x14ac:dyDescent="0.25">
      <c r="A44" t="s">
        <v>137</v>
      </c>
      <c r="B44" t="s">
        <v>31</v>
      </c>
      <c r="C44" t="s">
        <v>11</v>
      </c>
      <c r="D44">
        <v>74</v>
      </c>
      <c r="E44">
        <v>143.49</v>
      </c>
      <c r="F44">
        <v>10618.26</v>
      </c>
      <c r="G44" t="s">
        <v>102</v>
      </c>
      <c r="H44" t="s">
        <v>103</v>
      </c>
    </row>
    <row r="45" spans="1:8" x14ac:dyDescent="0.25">
      <c r="A45">
        <v>45766</v>
      </c>
      <c r="B45" t="s">
        <v>17</v>
      </c>
      <c r="C45" t="s">
        <v>18</v>
      </c>
      <c r="F45">
        <v>7416.54</v>
      </c>
      <c r="G45" t="s">
        <v>104</v>
      </c>
      <c r="H45" t="s">
        <v>105</v>
      </c>
    </row>
    <row r="46" spans="1:8" x14ac:dyDescent="0.25">
      <c r="A46">
        <v>45766</v>
      </c>
      <c r="B46" t="s">
        <v>63</v>
      </c>
      <c r="C46" t="s">
        <v>11</v>
      </c>
      <c r="D46">
        <v>6</v>
      </c>
      <c r="E46">
        <v>74.16</v>
      </c>
      <c r="F46">
        <v>444.96</v>
      </c>
      <c r="G46" t="s">
        <v>106</v>
      </c>
      <c r="H46" t="s">
        <v>89</v>
      </c>
    </row>
    <row r="47" spans="1:8" x14ac:dyDescent="0.25">
      <c r="A47">
        <v>45768</v>
      </c>
      <c r="B47" t="s">
        <v>40</v>
      </c>
      <c r="C47" t="s">
        <v>11</v>
      </c>
      <c r="D47">
        <v>66</v>
      </c>
      <c r="E47">
        <v>39.92</v>
      </c>
      <c r="F47">
        <v>2634.72</v>
      </c>
      <c r="G47" t="s">
        <v>107</v>
      </c>
      <c r="H47" t="s">
        <v>108</v>
      </c>
    </row>
    <row r="48" spans="1:8" x14ac:dyDescent="0.25">
      <c r="A48">
        <v>45773</v>
      </c>
      <c r="B48" t="s">
        <v>109</v>
      </c>
      <c r="C48" t="s">
        <v>11</v>
      </c>
      <c r="D48">
        <v>21</v>
      </c>
      <c r="E48">
        <v>104.04</v>
      </c>
      <c r="F48">
        <v>2184.84</v>
      </c>
      <c r="G48" t="s">
        <v>110</v>
      </c>
      <c r="H48">
        <v>905098023</v>
      </c>
    </row>
    <row r="49" spans="1:8" x14ac:dyDescent="0.25">
      <c r="A49">
        <v>45774</v>
      </c>
      <c r="B49" t="s">
        <v>23</v>
      </c>
      <c r="C49" t="s">
        <v>11</v>
      </c>
      <c r="D49">
        <v>8</v>
      </c>
      <c r="E49">
        <v>23.12</v>
      </c>
      <c r="F49">
        <v>184.96</v>
      </c>
      <c r="G49" t="s">
        <v>111</v>
      </c>
      <c r="H49" t="s">
        <v>45</v>
      </c>
    </row>
    <row r="50" spans="1:8" x14ac:dyDescent="0.25">
      <c r="A50">
        <v>45778</v>
      </c>
      <c r="B50" t="s">
        <v>40</v>
      </c>
      <c r="C50" t="s">
        <v>11</v>
      </c>
      <c r="D50">
        <v>7</v>
      </c>
      <c r="E50">
        <v>25.66</v>
      </c>
      <c r="F50">
        <v>179.62</v>
      </c>
      <c r="G50" t="s">
        <v>112</v>
      </c>
      <c r="H50" t="s">
        <v>113</v>
      </c>
    </row>
    <row r="51" spans="1:8" x14ac:dyDescent="0.25">
      <c r="A51">
        <v>45780</v>
      </c>
      <c r="B51" t="s">
        <v>109</v>
      </c>
      <c r="C51" t="s">
        <v>11</v>
      </c>
      <c r="D51">
        <v>53</v>
      </c>
      <c r="E51">
        <v>93.42</v>
      </c>
      <c r="F51">
        <v>4951.26</v>
      </c>
      <c r="G51" t="s">
        <v>114</v>
      </c>
      <c r="H51" t="s">
        <v>45</v>
      </c>
    </row>
    <row r="52" spans="1:8" x14ac:dyDescent="0.25">
      <c r="A52">
        <v>45781</v>
      </c>
      <c r="B52" t="s">
        <v>17</v>
      </c>
      <c r="C52" t="s">
        <v>18</v>
      </c>
      <c r="F52">
        <v>5569.14</v>
      </c>
      <c r="G52" t="s">
        <v>115</v>
      </c>
      <c r="H52" t="s">
        <v>116</v>
      </c>
    </row>
    <row r="53" spans="1:8" x14ac:dyDescent="0.25">
      <c r="A53">
        <v>45782</v>
      </c>
      <c r="B53" t="s">
        <v>43</v>
      </c>
      <c r="C53" t="s">
        <v>18</v>
      </c>
      <c r="F53">
        <v>4942.8999999999996</v>
      </c>
      <c r="G53" t="s">
        <v>117</v>
      </c>
      <c r="H53" t="s">
        <v>118</v>
      </c>
    </row>
    <row r="54" spans="1:8" x14ac:dyDescent="0.25">
      <c r="A54" t="s">
        <v>138</v>
      </c>
      <c r="B54" t="s">
        <v>17</v>
      </c>
      <c r="C54" t="s">
        <v>18</v>
      </c>
      <c r="F54">
        <v>6355.32</v>
      </c>
      <c r="G54" t="s">
        <v>119</v>
      </c>
      <c r="H54" t="s">
        <v>120</v>
      </c>
    </row>
    <row r="55" spans="1:8" x14ac:dyDescent="0.25">
      <c r="A55">
        <v>45786</v>
      </c>
      <c r="B55" t="s">
        <v>43</v>
      </c>
      <c r="C55" t="s">
        <v>18</v>
      </c>
      <c r="F55">
        <v>1919.89</v>
      </c>
      <c r="G55" t="s">
        <v>121</v>
      </c>
      <c r="H55" t="s">
        <v>122</v>
      </c>
    </row>
    <row r="56" spans="1:8" x14ac:dyDescent="0.25">
      <c r="A56">
        <v>45786</v>
      </c>
      <c r="B56" t="s">
        <v>26</v>
      </c>
      <c r="C56" t="s">
        <v>11</v>
      </c>
      <c r="D56">
        <v>25</v>
      </c>
      <c r="E56">
        <v>61.83</v>
      </c>
      <c r="F56">
        <v>1545.75</v>
      </c>
      <c r="G56" t="s">
        <v>123</v>
      </c>
      <c r="H56" t="s">
        <v>124</v>
      </c>
    </row>
    <row r="57" spans="1:8" x14ac:dyDescent="0.25">
      <c r="A57">
        <v>45786</v>
      </c>
      <c r="B57" t="s">
        <v>17</v>
      </c>
      <c r="C57" t="s">
        <v>18</v>
      </c>
      <c r="F57">
        <v>7060.28</v>
      </c>
      <c r="G57" t="s">
        <v>125</v>
      </c>
      <c r="H57" t="s">
        <v>126</v>
      </c>
    </row>
    <row r="58" spans="1:8" x14ac:dyDescent="0.25">
      <c r="A58">
        <v>45788</v>
      </c>
      <c r="B58" t="s">
        <v>23</v>
      </c>
      <c r="C58" t="s">
        <v>11</v>
      </c>
      <c r="D58">
        <v>45</v>
      </c>
      <c r="E58">
        <v>66.16</v>
      </c>
      <c r="F58">
        <v>2977.2</v>
      </c>
      <c r="G58" t="s">
        <v>127</v>
      </c>
      <c r="H58" t="s">
        <v>128</v>
      </c>
    </row>
    <row r="59" spans="1:8" x14ac:dyDescent="0.25">
      <c r="A59" t="s">
        <v>139</v>
      </c>
      <c r="B59" t="s">
        <v>14</v>
      </c>
      <c r="C59" t="s">
        <v>11</v>
      </c>
      <c r="D59">
        <v>5</v>
      </c>
      <c r="E59">
        <v>116.23</v>
      </c>
      <c r="F59">
        <v>581.15</v>
      </c>
      <c r="G59" t="s">
        <v>129</v>
      </c>
      <c r="H59" t="s">
        <v>45</v>
      </c>
    </row>
    <row r="60" spans="1:8" x14ac:dyDescent="0.25">
      <c r="A60">
        <v>45794</v>
      </c>
      <c r="B60" t="s">
        <v>14</v>
      </c>
      <c r="C60" t="s">
        <v>11</v>
      </c>
      <c r="D60">
        <v>32</v>
      </c>
      <c r="E60">
        <v>145.62</v>
      </c>
      <c r="F60">
        <v>4659.84</v>
      </c>
      <c r="G60" t="s">
        <v>130</v>
      </c>
      <c r="H60" t="s">
        <v>131</v>
      </c>
    </row>
    <row r="61" spans="1:8" x14ac:dyDescent="0.25">
      <c r="A61">
        <v>45797</v>
      </c>
      <c r="B61" t="s">
        <v>40</v>
      </c>
      <c r="C61" t="s">
        <v>11</v>
      </c>
      <c r="D61">
        <v>57</v>
      </c>
      <c r="E61">
        <v>36.659999999999997</v>
      </c>
      <c r="F61">
        <v>2089.62</v>
      </c>
      <c r="G61" t="s">
        <v>132</v>
      </c>
      <c r="H61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3EF79-4902-45FB-BCE4-689E24ED954D}">
  <dimension ref="A2:B7"/>
  <sheetViews>
    <sheetView showGridLines="0" workbookViewId="0">
      <selection activeCell="H19" sqref="H19"/>
    </sheetView>
  </sheetViews>
  <sheetFormatPr defaultRowHeight="15" x14ac:dyDescent="0.25"/>
  <cols>
    <col min="1" max="1" width="15.42578125" bestFit="1" customWidth="1"/>
    <col min="2" max="2" width="17" bestFit="1" customWidth="1"/>
  </cols>
  <sheetData>
    <row r="2" spans="1:2" x14ac:dyDescent="0.25">
      <c r="A2" s="8" t="s">
        <v>2</v>
      </c>
      <c r="B2" t="s">
        <v>18</v>
      </c>
    </row>
    <row r="4" spans="1:2" x14ac:dyDescent="0.25">
      <c r="A4" s="8" t="s">
        <v>1</v>
      </c>
      <c r="B4" t="s">
        <v>140</v>
      </c>
    </row>
    <row r="5" spans="1:2" x14ac:dyDescent="0.25">
      <c r="A5" t="s">
        <v>17</v>
      </c>
      <c r="B5" s="5">
        <v>90422.03</v>
      </c>
    </row>
    <row r="6" spans="1:2" x14ac:dyDescent="0.25">
      <c r="A6" t="s">
        <v>43</v>
      </c>
      <c r="B6" s="5">
        <v>31195.74</v>
      </c>
    </row>
    <row r="7" spans="1:2" x14ac:dyDescent="0.25">
      <c r="A7" t="s">
        <v>141</v>
      </c>
      <c r="B7" s="5">
        <v>121617.77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FC00D-940F-4DC7-B3FD-B6D22B3A031B}">
  <dimension ref="A2:B13"/>
  <sheetViews>
    <sheetView showGridLines="0" workbookViewId="0">
      <selection activeCell="L13" sqref="L13"/>
    </sheetView>
  </sheetViews>
  <sheetFormatPr defaultRowHeight="15" x14ac:dyDescent="0.25"/>
  <cols>
    <col min="1" max="2" width="17" bestFit="1" customWidth="1"/>
  </cols>
  <sheetData>
    <row r="2" spans="1:2" x14ac:dyDescent="0.25">
      <c r="A2" s="8" t="s">
        <v>2</v>
      </c>
      <c r="B2" t="s">
        <v>11</v>
      </c>
    </row>
    <row r="4" spans="1:2" x14ac:dyDescent="0.25">
      <c r="A4" s="8" t="s">
        <v>1</v>
      </c>
      <c r="B4" t="s">
        <v>140</v>
      </c>
    </row>
    <row r="5" spans="1:2" x14ac:dyDescent="0.25">
      <c r="A5" t="s">
        <v>23</v>
      </c>
      <c r="B5" s="5">
        <v>33803.619999999995</v>
      </c>
    </row>
    <row r="6" spans="1:2" x14ac:dyDescent="0.25">
      <c r="A6" t="s">
        <v>14</v>
      </c>
      <c r="B6" s="5">
        <v>22635.14</v>
      </c>
    </row>
    <row r="7" spans="1:2" x14ac:dyDescent="0.25">
      <c r="A7" t="s">
        <v>31</v>
      </c>
      <c r="B7" s="5">
        <v>19994.39</v>
      </c>
    </row>
    <row r="8" spans="1:2" x14ac:dyDescent="0.25">
      <c r="A8" t="s">
        <v>63</v>
      </c>
      <c r="B8" s="5">
        <v>19326.870000000003</v>
      </c>
    </row>
    <row r="9" spans="1:2" x14ac:dyDescent="0.25">
      <c r="A9" t="s">
        <v>10</v>
      </c>
      <c r="B9" s="5">
        <v>13230.43</v>
      </c>
    </row>
    <row r="10" spans="1:2" x14ac:dyDescent="0.25">
      <c r="A10" t="s">
        <v>26</v>
      </c>
      <c r="B10" s="5">
        <v>10931.910000000002</v>
      </c>
    </row>
    <row r="11" spans="1:2" x14ac:dyDescent="0.25">
      <c r="A11" t="s">
        <v>40</v>
      </c>
      <c r="B11" s="5">
        <v>10477.659999999998</v>
      </c>
    </row>
    <row r="12" spans="1:2" x14ac:dyDescent="0.25">
      <c r="A12" t="s">
        <v>109</v>
      </c>
      <c r="B12" s="5">
        <v>7136.1</v>
      </c>
    </row>
    <row r="13" spans="1:2" x14ac:dyDescent="0.25">
      <c r="A13" t="s">
        <v>141</v>
      </c>
      <c r="B13" s="5">
        <v>137536.12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DEAF3-8EFE-478C-A4DD-32C7050F2A09}">
  <dimension ref="A1:K109"/>
  <sheetViews>
    <sheetView workbookViewId="0">
      <selection activeCell="I95" sqref="I95"/>
    </sheetView>
  </sheetViews>
  <sheetFormatPr defaultRowHeight="15" x14ac:dyDescent="0.25"/>
  <sheetData>
    <row r="1" spans="1:11" ht="31.5" x14ac:dyDescent="0.5">
      <c r="A1" s="9" t="s">
        <v>142</v>
      </c>
    </row>
    <row r="2" spans="1:11" x14ac:dyDescent="0.25">
      <c r="A2" t="s">
        <v>143</v>
      </c>
    </row>
    <row r="5" spans="1:11" ht="18.75" x14ac:dyDescent="0.3">
      <c r="A5" s="10" t="s">
        <v>144</v>
      </c>
    </row>
    <row r="6" spans="1:11" x14ac:dyDescent="0.25">
      <c r="A6" t="e" cm="1" vm="1">
        <f t="array" ref="A6">_xlfn._xlws.PY(0,1,Table1[[#Headers],[#Data]])</f>
        <v>#VALUE!</v>
      </c>
    </row>
    <row r="8" spans="1:11" ht="15.75" x14ac:dyDescent="0.25">
      <c r="A8" s="11" t="s">
        <v>145</v>
      </c>
    </row>
    <row r="9" spans="1:11" x14ac:dyDescent="0.25">
      <c r="A9" t="str" cm="1">
        <f t="array" ref="A9:K20">IFERROR(_FV(A6,"arrayPreview"),_xlfn._DF_Python_str(A6))</f>
        <v/>
      </c>
      <c r="B9" t="str">
        <v>Date</v>
      </c>
      <c r="C9" t="str">
        <v>Item</v>
      </c>
      <c r="D9" t="str">
        <v>Type</v>
      </c>
      <c r="E9" t="str">
        <v>Quantity</v>
      </c>
      <c r="F9" t="str">
        <v>Per Unit Price</v>
      </c>
      <c r="G9" t="str">
        <v>Total Price</v>
      </c>
      <c r="H9" t="str">
        <v>Client, City</v>
      </c>
      <c r="I9" t="str">
        <v>Client Number</v>
      </c>
      <c r="J9" t="str">
        <v>City</v>
      </c>
      <c r="K9" t="str">
        <v>Client name</v>
      </c>
    </row>
    <row r="10" spans="1:11" x14ac:dyDescent="0.25">
      <c r="A10">
        <v>0</v>
      </c>
      <c r="B10" vm="2">
        <v>45749</v>
      </c>
      <c r="C10" t="str">
        <v>Props</v>
      </c>
      <c r="D10" t="str">
        <v>Product</v>
      </c>
      <c r="E10">
        <v>25</v>
      </c>
      <c r="F10">
        <v>74.72</v>
      </c>
      <c r="G10">
        <v>1868</v>
      </c>
      <c r="H10" t="str">
        <v>Michael Diaz, Rockville</v>
      </c>
      <c r="I10" t="str">
        <v>570.458.3842</v>
      </c>
      <c r="J10" t="str">
        <v>Rockville</v>
      </c>
      <c r="K10" t="str">
        <v>Michael Diaz</v>
      </c>
    </row>
    <row r="11" spans="1:11" x14ac:dyDescent="0.25">
      <c r="A11">
        <v>1</v>
      </c>
      <c r="B11" vm="3">
        <v>45692</v>
      </c>
      <c r="C11" t="str">
        <v>Chairs</v>
      </c>
      <c r="D11" t="str">
        <v>Product</v>
      </c>
      <c r="E11">
        <v>100</v>
      </c>
      <c r="F11">
        <v>91.84</v>
      </c>
      <c r="G11">
        <v>9184</v>
      </c>
      <c r="H11" t="str">
        <v>Anthony Murphy DVM, Alexandria</v>
      </c>
      <c r="I11" t="str">
        <v>031-847-5143</v>
      </c>
      <c r="J11" t="str">
        <v>Alexandria</v>
      </c>
      <c r="K11" t="str">
        <v>Anthony Murphy DVM</v>
      </c>
    </row>
    <row r="12" spans="1:11" x14ac:dyDescent="0.25">
      <c r="A12">
        <v>2</v>
      </c>
      <c r="B12" vm="4">
        <v>45694</v>
      </c>
      <c r="C12" t="str">
        <v>Intimate Event</v>
      </c>
      <c r="D12" t="str">
        <v>Service</v>
      </c>
      <c r="E12" vm="5">
        <v>0</v>
      </c>
      <c r="F12" vm="5">
        <v>0</v>
      </c>
      <c r="G12">
        <v>7161.53</v>
      </c>
      <c r="H12" t="str">
        <v>Daniel Beltrain, Silver Spring</v>
      </c>
      <c r="I12" t="str">
        <v>648.430.6541</v>
      </c>
      <c r="J12" t="str">
        <v>Silver Spring</v>
      </c>
      <c r="K12" t="str">
        <v>Daniel Beltrain</v>
      </c>
    </row>
    <row r="13" spans="1:11" x14ac:dyDescent="0.25">
      <c r="A13">
        <v>3</v>
      </c>
      <c r="B13" vm="6">
        <v>45695</v>
      </c>
      <c r="C13" t="str">
        <v>Intimate Event</v>
      </c>
      <c r="D13" t="str">
        <v>Service</v>
      </c>
      <c r="E13" vm="5">
        <v>0</v>
      </c>
      <c r="F13" vm="5">
        <v>0</v>
      </c>
      <c r="G13">
        <v>3385.51</v>
      </c>
      <c r="H13" t="str">
        <v>Daniel Gardner, Alexandria</v>
      </c>
      <c r="I13" t="str">
        <v>132-389-1288</v>
      </c>
      <c r="J13" t="str">
        <v>Alexandria</v>
      </c>
      <c r="K13" t="str">
        <v>Daniel Gardner</v>
      </c>
    </row>
    <row r="14" spans="1:11" x14ac:dyDescent="0.25">
      <c r="A14">
        <v>4</v>
      </c>
      <c r="B14" vm="7">
        <v>45696</v>
      </c>
      <c r="C14" t="str">
        <v>Balloons</v>
      </c>
      <c r="D14" t="str">
        <v>Product</v>
      </c>
      <c r="E14">
        <v>47</v>
      </c>
      <c r="F14">
        <v>19.920000000000002</v>
      </c>
      <c r="G14">
        <v>936.24</v>
      </c>
      <c r="H14" t="str">
        <v>Scott Jackson, Arlington</v>
      </c>
      <c r="I14" t="str">
        <v>281-135-6437</v>
      </c>
      <c r="J14" t="str">
        <v>Arlington</v>
      </c>
      <c r="K14" t="str">
        <v>Scott Jackson</v>
      </c>
    </row>
    <row r="15" spans="1:11" x14ac:dyDescent="0.25">
      <c r="A15" t="str">
        <v>...</v>
      </c>
      <c r="B15" t="str">
        <v>...</v>
      </c>
      <c r="C15" t="str">
        <v>...</v>
      </c>
      <c r="D15" t="str">
        <v>...</v>
      </c>
      <c r="E15" t="str">
        <v>...</v>
      </c>
      <c r="F15" t="str">
        <v>...</v>
      </c>
      <c r="G15" t="str">
        <v>...</v>
      </c>
      <c r="H15" t="str">
        <v>...</v>
      </c>
      <c r="I15" t="str">
        <v>...</v>
      </c>
      <c r="J15" t="str">
        <v>...</v>
      </c>
      <c r="K15" t="str">
        <v>...</v>
      </c>
    </row>
    <row r="16" spans="1:11" x14ac:dyDescent="0.25">
      <c r="A16">
        <v>55</v>
      </c>
      <c r="B16" vm="8">
        <v>45793</v>
      </c>
      <c r="C16" t="str">
        <v>Intimate Event</v>
      </c>
      <c r="D16" t="str">
        <v>Service</v>
      </c>
      <c r="E16" vm="5">
        <v>0</v>
      </c>
      <c r="F16" vm="5">
        <v>0</v>
      </c>
      <c r="G16">
        <v>7060.28</v>
      </c>
      <c r="H16" t="str">
        <v>Brian Rivers, Wilmington</v>
      </c>
      <c r="I16" t="str">
        <v>809-069-8568</v>
      </c>
      <c r="J16" t="str">
        <v>Wilmington</v>
      </c>
      <c r="K16" t="str">
        <v>Brian Rivers</v>
      </c>
    </row>
    <row r="17" spans="1:11" x14ac:dyDescent="0.25">
      <c r="A17">
        <v>56</v>
      </c>
      <c r="B17" vm="9">
        <v>45794</v>
      </c>
      <c r="C17" t="str">
        <v>Balloons</v>
      </c>
      <c r="D17" t="str">
        <v>Product</v>
      </c>
      <c r="E17">
        <v>45</v>
      </c>
      <c r="F17">
        <v>66.16</v>
      </c>
      <c r="G17">
        <v>2977.2</v>
      </c>
      <c r="H17" t="str">
        <v>Lisa Jackson, Wilmington</v>
      </c>
      <c r="I17" t="str">
        <v>001-966-8656</v>
      </c>
      <c r="J17" t="str">
        <v>Wilmington</v>
      </c>
      <c r="K17" t="str">
        <v>Lisa Jackson</v>
      </c>
    </row>
    <row r="18" spans="1:11" x14ac:dyDescent="0.25">
      <c r="A18">
        <v>57</v>
      </c>
      <c r="B18" vm="10">
        <v>45795</v>
      </c>
      <c r="C18" t="str">
        <v>Chairs</v>
      </c>
      <c r="D18" t="str">
        <v>Product</v>
      </c>
      <c r="E18">
        <v>5</v>
      </c>
      <c r="F18">
        <v>116.23</v>
      </c>
      <c r="G18">
        <v>581.15</v>
      </c>
      <c r="H18" t="str">
        <v>Trevor Munoz, Maryland</v>
      </c>
      <c r="I18" t="str">
        <v>362-353-9229</v>
      </c>
      <c r="J18" t="str">
        <v>Maryland</v>
      </c>
      <c r="K18" t="str">
        <v>Trevor Munoz</v>
      </c>
    </row>
    <row r="19" spans="1:11" x14ac:dyDescent="0.25">
      <c r="A19">
        <v>58</v>
      </c>
      <c r="B19" vm="11">
        <v>45796</v>
      </c>
      <c r="C19" t="str">
        <v>Chairs</v>
      </c>
      <c r="D19" t="str">
        <v>Product</v>
      </c>
      <c r="E19">
        <v>32</v>
      </c>
      <c r="F19">
        <v>145.62</v>
      </c>
      <c r="G19">
        <v>4659.84</v>
      </c>
      <c r="H19" t="str">
        <v>Sharon Colin, Silver Spring</v>
      </c>
      <c r="I19" t="str">
        <v>249-920-8963</v>
      </c>
      <c r="J19" t="str">
        <v>Silver Spring</v>
      </c>
      <c r="K19" t="str">
        <v>Sharon Colin</v>
      </c>
    </row>
    <row r="20" spans="1:11" x14ac:dyDescent="0.25">
      <c r="A20">
        <v>59</v>
      </c>
      <c r="B20" vm="12">
        <v>45802</v>
      </c>
      <c r="C20" t="str">
        <v>Decoration Pieces</v>
      </c>
      <c r="D20" t="str">
        <v>Product</v>
      </c>
      <c r="E20">
        <v>57</v>
      </c>
      <c r="F20">
        <v>36.659999999999997</v>
      </c>
      <c r="G20">
        <v>2089.62</v>
      </c>
      <c r="H20" t="str">
        <v>Laura Thompson, Wilmington</v>
      </c>
      <c r="I20" t="str">
        <v>133-897-5897</v>
      </c>
      <c r="J20" t="str">
        <v>Wilmington</v>
      </c>
      <c r="K20" t="str">
        <v>Laura Thompson</v>
      </c>
    </row>
    <row r="23" spans="1:11" ht="18.75" x14ac:dyDescent="0.3">
      <c r="A23" s="10" t="s">
        <v>146</v>
      </c>
    </row>
    <row r="24" spans="1:11" x14ac:dyDescent="0.25">
      <c r="A24" t="e" cm="1" vm="13">
        <f t="array" ref="A24">_xlfn._xlws.PY(1,1)</f>
        <v>#VALUE!</v>
      </c>
    </row>
    <row r="43" spans="1:2" ht="18.75" x14ac:dyDescent="0.3">
      <c r="A43" s="10" t="s">
        <v>147</v>
      </c>
    </row>
    <row r="44" spans="1:2" x14ac:dyDescent="0.25">
      <c r="A44" t="e" cm="1" vm="14">
        <f t="array" ref="A44">_xlfn._xlws.PY(2,1)</f>
        <v>#VALUE!</v>
      </c>
    </row>
    <row r="46" spans="1:2" ht="15.75" x14ac:dyDescent="0.25">
      <c r="A46" s="11" t="s">
        <v>145</v>
      </c>
    </row>
    <row r="47" spans="1:2" x14ac:dyDescent="0.25">
      <c r="A47" t="str" cm="1">
        <f t="array" ref="A47:B58">IFERROR(_FV(A44,"arrayPreview"),_xlfn._DF_Python_str(A44))</f>
        <v>Client name</v>
      </c>
      <c r="B47" t="str">
        <v>Total Price</v>
      </c>
    </row>
    <row r="48" spans="1:2" x14ac:dyDescent="0.25">
      <c r="A48" t="str">
        <v>Cameron Coleman</v>
      </c>
      <c r="B48">
        <v>12864.14</v>
      </c>
    </row>
    <row r="49" spans="1:2" x14ac:dyDescent="0.25">
      <c r="A49" t="str">
        <v>Leslie Owenin</v>
      </c>
      <c r="B49">
        <v>10618.26</v>
      </c>
    </row>
    <row r="50" spans="1:2" x14ac:dyDescent="0.25">
      <c r="A50" t="str">
        <v>Michelle Garcia</v>
      </c>
      <c r="B50">
        <v>10345.790000000001</v>
      </c>
    </row>
    <row r="51" spans="1:2" x14ac:dyDescent="0.25">
      <c r="A51" t="str">
        <v>Thomas Hall</v>
      </c>
      <c r="B51">
        <v>10202.799999999999</v>
      </c>
    </row>
    <row r="52" spans="1:2" x14ac:dyDescent="0.25">
      <c r="A52" t="str">
        <v>Michele Wallace</v>
      </c>
      <c r="B52">
        <v>9758.0400000000009</v>
      </c>
    </row>
    <row r="53" spans="1:2" x14ac:dyDescent="0.25">
      <c r="A53" t="str">
        <v>...</v>
      </c>
      <c r="B53" t="str">
        <v>...</v>
      </c>
    </row>
    <row r="54" spans="1:2" x14ac:dyDescent="0.25">
      <c r="A54" t="str">
        <v>Robert Coleman</v>
      </c>
      <c r="B54">
        <v>745.29</v>
      </c>
    </row>
    <row r="55" spans="1:2" x14ac:dyDescent="0.25">
      <c r="A55" t="str">
        <v>Trevor Munoz</v>
      </c>
      <c r="B55">
        <v>581.15</v>
      </c>
    </row>
    <row r="56" spans="1:2" x14ac:dyDescent="0.25">
      <c r="A56" t="str">
        <v>Kimberly Petty</v>
      </c>
      <c r="B56">
        <v>444.96</v>
      </c>
    </row>
    <row r="57" spans="1:2" x14ac:dyDescent="0.25">
      <c r="A57" t="str">
        <v>William Johnson</v>
      </c>
      <c r="B57">
        <v>184.96</v>
      </c>
    </row>
    <row r="58" spans="1:2" x14ac:dyDescent="0.25">
      <c r="A58" t="str">
        <v>David Robertson</v>
      </c>
      <c r="B58">
        <v>179.62</v>
      </c>
    </row>
    <row r="61" spans="1:2" ht="18.75" x14ac:dyDescent="0.3">
      <c r="A61" s="10" t="s">
        <v>148</v>
      </c>
    </row>
    <row r="62" spans="1:2" x14ac:dyDescent="0.25">
      <c r="A62" t="e" cm="1" vm="15">
        <f t="array" ref="A62">_xlfn._xlws.PY(3,1)</f>
        <v>#VALUE!</v>
      </c>
    </row>
    <row r="64" spans="1:2" ht="15.75" x14ac:dyDescent="0.25">
      <c r="A64" s="11" t="s">
        <v>145</v>
      </c>
    </row>
    <row r="65" spans="1:2" x14ac:dyDescent="0.25">
      <c r="A65" t="str" cm="1">
        <f t="array" ref="A65:B67">IFERROR(_FV(A62,"arrayPreview"),_xlfn._DF_Python_str(A62))</f>
        <v>Type</v>
      </c>
      <c r="B65" t="str">
        <v>Total Price</v>
      </c>
    </row>
    <row r="66" spans="1:2" x14ac:dyDescent="0.25">
      <c r="A66" t="str">
        <v>Product</v>
      </c>
      <c r="B66">
        <v>137536.12</v>
      </c>
    </row>
    <row r="67" spans="1:2" x14ac:dyDescent="0.25">
      <c r="A67" t="str">
        <v>Service</v>
      </c>
      <c r="B67">
        <v>121617.77</v>
      </c>
    </row>
    <row r="70" spans="1:2" ht="18.75" x14ac:dyDescent="0.3">
      <c r="A70" s="10" t="s">
        <v>149</v>
      </c>
    </row>
    <row r="71" spans="1:2" x14ac:dyDescent="0.25">
      <c r="A71" t="e" cm="1" vm="16">
        <f t="array" ref="A71">_xlfn._xlws.PY(4,1)</f>
        <v>#VALUE!</v>
      </c>
    </row>
    <row r="73" spans="1:2" ht="15.75" x14ac:dyDescent="0.25">
      <c r="A73" s="11" t="s">
        <v>145</v>
      </c>
    </row>
    <row r="74" spans="1:2" x14ac:dyDescent="0.25">
      <c r="A74" t="str" cm="1">
        <f t="array" ref="A74:B85">IFERROR(_FV(A71,"arrayPreview"),_xlfn._DF_Python_str(A71))</f>
        <v>City</v>
      </c>
      <c r="B74" t="str">
        <v>Total Price</v>
      </c>
    </row>
    <row r="75" spans="1:2" x14ac:dyDescent="0.25">
      <c r="A75" t="str">
        <v>Alexandria</v>
      </c>
      <c r="B75">
        <v>62290.950000000004</v>
      </c>
    </row>
    <row r="76" spans="1:2" x14ac:dyDescent="0.25">
      <c r="A76" t="str">
        <v>Wilmington</v>
      </c>
      <c r="B76">
        <v>45096.6</v>
      </c>
    </row>
    <row r="77" spans="1:2" x14ac:dyDescent="0.25">
      <c r="A77" t="str">
        <v>Silver Spring</v>
      </c>
      <c r="B77">
        <v>33359.79</v>
      </c>
    </row>
    <row r="78" spans="1:2" x14ac:dyDescent="0.25">
      <c r="A78" t="str">
        <v>Rockville</v>
      </c>
      <c r="B78">
        <v>28145.579999999998</v>
      </c>
    </row>
    <row r="79" spans="1:2" x14ac:dyDescent="0.25">
      <c r="A79" t="str">
        <v>Arlington</v>
      </c>
      <c r="B79">
        <v>27139.040000000001</v>
      </c>
    </row>
    <row r="80" spans="1:2" x14ac:dyDescent="0.25">
      <c r="A80" t="str">
        <v>...</v>
      </c>
      <c r="B80" t="str">
        <v>...</v>
      </c>
    </row>
    <row r="81" spans="1:2" x14ac:dyDescent="0.25">
      <c r="A81" t="str">
        <v>Maryland</v>
      </c>
      <c r="B81">
        <v>13674.91</v>
      </c>
    </row>
    <row r="82" spans="1:2" x14ac:dyDescent="0.25">
      <c r="A82" t="str">
        <v>Fairfax</v>
      </c>
      <c r="B82">
        <v>13108.54</v>
      </c>
    </row>
    <row r="83" spans="1:2" x14ac:dyDescent="0.25">
      <c r="A83" t="str">
        <v>Brady and Wright, Arlington</v>
      </c>
      <c r="B83">
        <v>8575.02</v>
      </c>
    </row>
    <row r="84" spans="1:2" x14ac:dyDescent="0.25">
      <c r="A84" t="str">
        <v>Nguyen and Greene, Washington</v>
      </c>
      <c r="B84">
        <v>4942.8999999999996</v>
      </c>
    </row>
    <row r="85" spans="1:2" x14ac:dyDescent="0.25">
      <c r="A85" t="str">
        <v>Smith and Gordon, Washington</v>
      </c>
      <c r="B85">
        <v>4812.21</v>
      </c>
    </row>
    <row r="88" spans="1:2" ht="18.75" x14ac:dyDescent="0.3">
      <c r="A88" s="10" t="s">
        <v>150</v>
      </c>
    </row>
    <row r="89" spans="1:2" x14ac:dyDescent="0.25">
      <c r="A89" t="e" cm="1" vm="17">
        <f t="array" ref="A89">_xlfn._xlws.PY(5,1)</f>
        <v>#VALUE!</v>
      </c>
    </row>
    <row r="108" spans="1:1" ht="18.75" x14ac:dyDescent="0.3">
      <c r="A108" s="10" t="s">
        <v>150</v>
      </c>
    </row>
    <row r="109" spans="1:1" x14ac:dyDescent="0.25">
      <c r="A109" t="e" cm="1" vm="18">
        <f t="array" ref="A109">_xlfn._xlws.PY(6,1)</f>
        <v>#VALUE!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ECB01-099A-479D-B64A-5ECBC5F92103}">
  <dimension ref="A1:B63"/>
  <sheetViews>
    <sheetView workbookViewId="0">
      <selection activeCell="A3" sqref="A3"/>
    </sheetView>
  </sheetViews>
  <sheetFormatPr defaultRowHeight="15" x14ac:dyDescent="0.25"/>
  <cols>
    <col min="1" max="1" width="61" bestFit="1" customWidth="1"/>
  </cols>
  <sheetData>
    <row r="1" spans="1:2" ht="18.75" x14ac:dyDescent="0.3">
      <c r="A1" s="12" t="s">
        <v>147</v>
      </c>
    </row>
    <row r="3" spans="1:2" x14ac:dyDescent="0.25">
      <c r="A3" t="str" cm="1">
        <f t="array" ref="A3:B63">_xlfn._xlws.PY(7,0,Analysis1!$A$44)</f>
        <v>Client name</v>
      </c>
      <c r="B3" t="str">
        <v>Total Price</v>
      </c>
    </row>
    <row r="4" spans="1:2" x14ac:dyDescent="0.25">
      <c r="A4" t="str">
        <v>Cameron Coleman</v>
      </c>
      <c r="B4">
        <v>12864.14</v>
      </c>
    </row>
    <row r="5" spans="1:2" x14ac:dyDescent="0.25">
      <c r="A5" t="str">
        <v>Leslie Owenin</v>
      </c>
      <c r="B5">
        <v>10618.26</v>
      </c>
    </row>
    <row r="6" spans="1:2" x14ac:dyDescent="0.25">
      <c r="A6" t="str">
        <v>Michelle Garcia</v>
      </c>
      <c r="B6">
        <v>10345.790000000001</v>
      </c>
    </row>
    <row r="7" spans="1:2" x14ac:dyDescent="0.25">
      <c r="A7" t="str">
        <v>Thomas Hall</v>
      </c>
      <c r="B7">
        <v>10202.799999999999</v>
      </c>
    </row>
    <row r="8" spans="1:2" x14ac:dyDescent="0.25">
      <c r="A8" t="str">
        <v>Michele Wallace</v>
      </c>
      <c r="B8">
        <v>9758.0400000000009</v>
      </c>
    </row>
    <row r="9" spans="1:2" x14ac:dyDescent="0.25">
      <c r="A9" t="str">
        <v>Anthony Murphy DVM</v>
      </c>
      <c r="B9">
        <v>9184</v>
      </c>
    </row>
    <row r="10" spans="1:2" x14ac:dyDescent="0.25">
      <c r="A10" t="str">
        <v>Gina Pacheco</v>
      </c>
      <c r="B10">
        <v>8798.35</v>
      </c>
    </row>
    <row r="11" spans="1:2" x14ac:dyDescent="0.25">
      <c r="A11" t="str">
        <v>Hayes</v>
      </c>
      <c r="B11">
        <v>8575.02</v>
      </c>
    </row>
    <row r="12" spans="1:2" x14ac:dyDescent="0.25">
      <c r="A12" t="str">
        <v>George Mcgee</v>
      </c>
      <c r="B12">
        <v>8210.15</v>
      </c>
    </row>
    <row r="13" spans="1:2" x14ac:dyDescent="0.25">
      <c r="A13" t="str">
        <v>Maria Diaz</v>
      </c>
      <c r="B13">
        <v>7673.95</v>
      </c>
    </row>
    <row r="14" spans="1:2" x14ac:dyDescent="0.25">
      <c r="A14" t="str">
        <v>Jason Fuller</v>
      </c>
      <c r="B14">
        <v>7510.32</v>
      </c>
    </row>
    <row r="15" spans="1:2" x14ac:dyDescent="0.25">
      <c r="A15" t="str">
        <v>Rhonda King</v>
      </c>
      <c r="B15">
        <v>7416.54</v>
      </c>
    </row>
    <row r="16" spans="1:2" x14ac:dyDescent="0.25">
      <c r="A16" t="str">
        <v>Scott Schmitt</v>
      </c>
      <c r="B16">
        <v>7365.17</v>
      </c>
    </row>
    <row r="17" spans="1:2" x14ac:dyDescent="0.25">
      <c r="A17" t="str">
        <v>Daniel Beltrain</v>
      </c>
      <c r="B17">
        <v>7161.53</v>
      </c>
    </row>
    <row r="18" spans="1:2" x14ac:dyDescent="0.25">
      <c r="A18" t="str">
        <v>Brian Rivers</v>
      </c>
      <c r="B18">
        <v>7060.28</v>
      </c>
    </row>
    <row r="19" spans="1:2" x14ac:dyDescent="0.25">
      <c r="A19" t="str">
        <v>Michael Turner</v>
      </c>
      <c r="B19">
        <v>6647.01</v>
      </c>
    </row>
    <row r="20" spans="1:2" x14ac:dyDescent="0.25">
      <c r="A20" t="str">
        <v>Joseph Stone</v>
      </c>
      <c r="B20">
        <v>6482.18</v>
      </c>
    </row>
    <row r="21" spans="1:2" x14ac:dyDescent="0.25">
      <c r="A21" t="str">
        <v>Bethany Sanchez</v>
      </c>
      <c r="B21">
        <v>6355.32</v>
      </c>
    </row>
    <row r="22" spans="1:2" x14ac:dyDescent="0.25">
      <c r="A22" t="str">
        <v>Herbert Ingram</v>
      </c>
      <c r="B22">
        <v>5569.14</v>
      </c>
    </row>
    <row r="23" spans="1:2" x14ac:dyDescent="0.25">
      <c r="A23" t="str">
        <v>Brian Moorin</v>
      </c>
      <c r="B23">
        <v>5536.3</v>
      </c>
    </row>
    <row r="24" spans="1:2" x14ac:dyDescent="0.25">
      <c r="A24" t="str">
        <v>Diana Yang</v>
      </c>
      <c r="B24">
        <v>4951.26</v>
      </c>
    </row>
    <row r="25" spans="1:2" x14ac:dyDescent="0.25">
      <c r="A25" t="str">
        <v>Gonzalez</v>
      </c>
      <c r="B25">
        <v>4942.8999999999996</v>
      </c>
    </row>
    <row r="26" spans="1:2" x14ac:dyDescent="0.25">
      <c r="A26" t="str">
        <v>Parker</v>
      </c>
      <c r="B26">
        <v>4812.21</v>
      </c>
    </row>
    <row r="27" spans="1:2" x14ac:dyDescent="0.25">
      <c r="A27" t="str">
        <v>Sharon Colin</v>
      </c>
      <c r="B27">
        <v>4659.84</v>
      </c>
    </row>
    <row r="28" spans="1:2" x14ac:dyDescent="0.25">
      <c r="A28" t="str">
        <v>Jane Saunders</v>
      </c>
      <c r="B28">
        <v>4410.76</v>
      </c>
    </row>
    <row r="29" spans="1:2" x14ac:dyDescent="0.25">
      <c r="A29" t="str">
        <v>Erika Rhodes</v>
      </c>
      <c r="B29">
        <v>4325.74</v>
      </c>
    </row>
    <row r="30" spans="1:2" x14ac:dyDescent="0.25">
      <c r="A30" t="str">
        <v>Pamela Kramerin</v>
      </c>
      <c r="B30">
        <v>3856.46</v>
      </c>
    </row>
    <row r="31" spans="1:2" x14ac:dyDescent="0.25">
      <c r="A31" t="str">
        <v>Marshall PLC</v>
      </c>
      <c r="B31">
        <v>3500.84</v>
      </c>
    </row>
    <row r="32" spans="1:2" x14ac:dyDescent="0.25">
      <c r="A32" t="str">
        <v>Daniel Gardner</v>
      </c>
      <c r="B32">
        <v>3385.51</v>
      </c>
    </row>
    <row r="33" spans="1:2" x14ac:dyDescent="0.25">
      <c r="A33" t="str">
        <v>Christopher Rodgers</v>
      </c>
      <c r="B33">
        <v>3256.32</v>
      </c>
    </row>
    <row r="34" spans="1:2" x14ac:dyDescent="0.25">
      <c r="A34" t="str">
        <v>Cheryl Daniel</v>
      </c>
      <c r="B34">
        <v>3251.97</v>
      </c>
    </row>
    <row r="35" spans="1:2" x14ac:dyDescent="0.25">
      <c r="A35" t="str">
        <v>Joseph-Robertson</v>
      </c>
      <c r="B35">
        <v>3155.07</v>
      </c>
    </row>
    <row r="36" spans="1:2" x14ac:dyDescent="0.25">
      <c r="A36" t="str">
        <v>Lisa Jackson</v>
      </c>
      <c r="B36">
        <v>2977.2</v>
      </c>
    </row>
    <row r="37" spans="1:2" x14ac:dyDescent="0.25">
      <c r="A37" t="str">
        <v>Ariel Roman</v>
      </c>
      <c r="B37">
        <v>2875.84</v>
      </c>
    </row>
    <row r="38" spans="1:2" x14ac:dyDescent="0.25">
      <c r="A38" t="str">
        <v>Cheryl Alvarado</v>
      </c>
      <c r="B38">
        <v>2838.02</v>
      </c>
    </row>
    <row r="39" spans="1:2" x14ac:dyDescent="0.25">
      <c r="A39" t="str">
        <v>Elizabeth Zavala</v>
      </c>
      <c r="B39">
        <v>2735.68</v>
      </c>
    </row>
    <row r="40" spans="1:2" x14ac:dyDescent="0.25">
      <c r="A40" t="str">
        <v>Timothy Mason</v>
      </c>
      <c r="B40">
        <v>2634.72</v>
      </c>
    </row>
    <row r="41" spans="1:2" x14ac:dyDescent="0.25">
      <c r="A41" t="str">
        <v>Dean-Patrick</v>
      </c>
      <c r="B41">
        <v>2285.84</v>
      </c>
    </row>
    <row r="42" spans="1:2" x14ac:dyDescent="0.25">
      <c r="A42" t="str">
        <v>John Sanchez</v>
      </c>
      <c r="B42">
        <v>2235.04</v>
      </c>
    </row>
    <row r="43" spans="1:2" x14ac:dyDescent="0.25">
      <c r="A43" t="str">
        <v>Kimberly Hall</v>
      </c>
      <c r="B43">
        <v>2184.84</v>
      </c>
    </row>
    <row r="44" spans="1:2" x14ac:dyDescent="0.25">
      <c r="A44" t="str">
        <v>Krystal Gonzalez</v>
      </c>
      <c r="B44">
        <v>2155.52</v>
      </c>
    </row>
    <row r="45" spans="1:2" x14ac:dyDescent="0.25">
      <c r="A45" t="str">
        <v>John Jones</v>
      </c>
      <c r="B45">
        <v>2105.71</v>
      </c>
    </row>
    <row r="46" spans="1:2" x14ac:dyDescent="0.25">
      <c r="A46" t="str">
        <v>Laura Thompson</v>
      </c>
      <c r="B46">
        <v>2089.62</v>
      </c>
    </row>
    <row r="47" spans="1:2" x14ac:dyDescent="0.25">
      <c r="A47" t="str">
        <v>Hebert Group</v>
      </c>
      <c r="B47">
        <v>2003.97</v>
      </c>
    </row>
    <row r="48" spans="1:2" x14ac:dyDescent="0.25">
      <c r="A48" t="str">
        <v>Moyer-Alexander</v>
      </c>
      <c r="B48">
        <v>1919.89</v>
      </c>
    </row>
    <row r="49" spans="1:2" x14ac:dyDescent="0.25">
      <c r="A49" t="str">
        <v>Michael Diaz</v>
      </c>
      <c r="B49">
        <v>1868</v>
      </c>
    </row>
    <row r="50" spans="1:2" x14ac:dyDescent="0.25">
      <c r="A50" t="str">
        <v>Lynn Russell</v>
      </c>
      <c r="B50">
        <v>1770.88</v>
      </c>
    </row>
    <row r="51" spans="1:2" x14ac:dyDescent="0.25">
      <c r="A51" t="str">
        <v>Nathaniel Morris</v>
      </c>
      <c r="B51">
        <v>1734.12</v>
      </c>
    </row>
    <row r="52" spans="1:2" x14ac:dyDescent="0.25">
      <c r="A52" t="str">
        <v>Paula Gilbert</v>
      </c>
      <c r="B52">
        <v>1545.75</v>
      </c>
    </row>
    <row r="53" spans="1:2" x14ac:dyDescent="0.25">
      <c r="A53" t="str">
        <v>Haley Jonein</v>
      </c>
      <c r="B53">
        <v>1527.4</v>
      </c>
    </row>
    <row r="54" spans="1:2" x14ac:dyDescent="0.25">
      <c r="A54" t="str">
        <v>James Hayes</v>
      </c>
      <c r="B54">
        <v>1466.8</v>
      </c>
    </row>
    <row r="55" spans="1:2" x14ac:dyDescent="0.25">
      <c r="A55" t="str">
        <v>Jodi Weaver</v>
      </c>
      <c r="B55">
        <v>1451.28</v>
      </c>
    </row>
    <row r="56" spans="1:2" x14ac:dyDescent="0.25">
      <c r="A56" t="str">
        <v>Connie Brown</v>
      </c>
      <c r="B56">
        <v>1025.8</v>
      </c>
    </row>
    <row r="57" spans="1:2" x14ac:dyDescent="0.25">
      <c r="A57" t="str">
        <v>Scott Jackson</v>
      </c>
      <c r="B57">
        <v>936.24</v>
      </c>
    </row>
    <row r="58" spans="1:2" x14ac:dyDescent="0.25">
      <c r="A58" t="str">
        <v>Brian Richardson</v>
      </c>
      <c r="B58">
        <v>806.58</v>
      </c>
    </row>
    <row r="59" spans="1:2" x14ac:dyDescent="0.25">
      <c r="A59" t="str">
        <v>Robert Coleman</v>
      </c>
      <c r="B59">
        <v>745.29</v>
      </c>
    </row>
    <row r="60" spans="1:2" x14ac:dyDescent="0.25">
      <c r="A60" t="str">
        <v>Trevor Munoz</v>
      </c>
      <c r="B60">
        <v>581.15</v>
      </c>
    </row>
    <row r="61" spans="1:2" x14ac:dyDescent="0.25">
      <c r="A61" t="str">
        <v>Kimberly Petty</v>
      </c>
      <c r="B61">
        <v>444.96</v>
      </c>
    </row>
    <row r="62" spans="1:2" x14ac:dyDescent="0.25">
      <c r="A62" t="str">
        <v>William Johnson</v>
      </c>
      <c r="B62">
        <v>184.96</v>
      </c>
    </row>
    <row r="63" spans="1:2" x14ac:dyDescent="0.25">
      <c r="A63" t="str">
        <v>David Robertson</v>
      </c>
      <c r="B63">
        <v>179.62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D5390-6DA5-4557-8937-F99D6F112B7B}">
  <dimension ref="A1:B5"/>
  <sheetViews>
    <sheetView workbookViewId="0">
      <selection activeCell="A3" sqref="A3:B5"/>
    </sheetView>
  </sheetViews>
  <sheetFormatPr defaultRowHeight="15" x14ac:dyDescent="0.25"/>
  <sheetData>
    <row r="1" spans="1:2" ht="18.75" x14ac:dyDescent="0.3">
      <c r="A1" s="12" t="s">
        <v>148</v>
      </c>
    </row>
    <row r="3" spans="1:2" x14ac:dyDescent="0.25">
      <c r="A3" t="str" cm="1">
        <f t="array" ref="A3:B5">_xlfn._xlws.PY(7,0,Analysis1!$A$62)</f>
        <v>Type</v>
      </c>
      <c r="B3" t="str">
        <v>Total Price</v>
      </c>
    </row>
    <row r="4" spans="1:2" x14ac:dyDescent="0.25">
      <c r="A4" t="str">
        <v>Product</v>
      </c>
      <c r="B4">
        <v>137536.12</v>
      </c>
    </row>
    <row r="5" spans="1:2" x14ac:dyDescent="0.25">
      <c r="A5" t="str">
        <v>Service</v>
      </c>
      <c r="B5">
        <v>121617.77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E006F-7F30-442F-8F59-3FD7B878ACBB}">
  <dimension ref="A1:B14"/>
  <sheetViews>
    <sheetView workbookViewId="0">
      <selection activeCell="I20" sqref="I20"/>
    </sheetView>
  </sheetViews>
  <sheetFormatPr defaultRowHeight="15" x14ac:dyDescent="0.25"/>
  <sheetData>
    <row r="1" spans="1:2" ht="18.75" x14ac:dyDescent="0.3">
      <c r="A1" s="12" t="s">
        <v>149</v>
      </c>
    </row>
    <row r="3" spans="1:2" x14ac:dyDescent="0.25">
      <c r="A3" t="str" cm="1">
        <f t="array" ref="A3:B14">_xlfn._xlws.PY(7,0,Analysis1!$A$71)</f>
        <v>City</v>
      </c>
      <c r="B3" t="str">
        <v>Total Price</v>
      </c>
    </row>
    <row r="4" spans="1:2" x14ac:dyDescent="0.25">
      <c r="A4" t="str">
        <v>Alexandria</v>
      </c>
      <c r="B4">
        <v>62290.950000000004</v>
      </c>
    </row>
    <row r="5" spans="1:2" x14ac:dyDescent="0.25">
      <c r="A5" t="str">
        <v>Wilmington</v>
      </c>
      <c r="B5">
        <v>45096.6</v>
      </c>
    </row>
    <row r="6" spans="1:2" x14ac:dyDescent="0.25">
      <c r="A6" t="str">
        <v>Silver Spring</v>
      </c>
      <c r="B6">
        <v>33359.79</v>
      </c>
    </row>
    <row r="7" spans="1:2" x14ac:dyDescent="0.25">
      <c r="A7" t="str">
        <v>Rockville</v>
      </c>
      <c r="B7">
        <v>28145.579999999998</v>
      </c>
    </row>
    <row r="8" spans="1:2" x14ac:dyDescent="0.25">
      <c r="A8" t="str">
        <v>Arlington</v>
      </c>
      <c r="B8">
        <v>27139.040000000001</v>
      </c>
    </row>
    <row r="9" spans="1:2" x14ac:dyDescent="0.25">
      <c r="A9" t="str">
        <v>Washington</v>
      </c>
      <c r="B9">
        <v>18008.349999999999</v>
      </c>
    </row>
    <row r="10" spans="1:2" x14ac:dyDescent="0.25">
      <c r="A10" t="str">
        <v>Maryland</v>
      </c>
      <c r="B10">
        <v>13674.91</v>
      </c>
    </row>
    <row r="11" spans="1:2" x14ac:dyDescent="0.25">
      <c r="A11" t="str">
        <v>Fairfax</v>
      </c>
      <c r="B11">
        <v>13108.54</v>
      </c>
    </row>
    <row r="12" spans="1:2" x14ac:dyDescent="0.25">
      <c r="A12" t="str">
        <v>Brady and Wright, Arlington</v>
      </c>
      <c r="B12">
        <v>8575.02</v>
      </c>
    </row>
    <row r="13" spans="1:2" x14ac:dyDescent="0.25">
      <c r="A13" t="str">
        <v>Nguyen and Greene, Washington</v>
      </c>
      <c r="B13">
        <v>4942.8999999999996</v>
      </c>
    </row>
    <row r="14" spans="1:2" x14ac:dyDescent="0.25">
      <c r="A14" t="str">
        <v>Smith and Gordon, Washington</v>
      </c>
      <c r="B14">
        <v>4812.21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Sales_ME</vt:lpstr>
      <vt:lpstr>Sample</vt:lpstr>
      <vt:lpstr>Sheet4</vt:lpstr>
      <vt:lpstr>Sheet5</vt:lpstr>
      <vt:lpstr>Analysis1</vt:lpstr>
      <vt:lpstr>Detail1</vt:lpstr>
      <vt:lpstr>Detail2</vt:lpstr>
      <vt:lpstr>Detail3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Ayesha Younis</cp:lastModifiedBy>
  <cp:revision/>
  <dcterms:created xsi:type="dcterms:W3CDTF">2025-05-24T18:20:57Z</dcterms:created>
  <dcterms:modified xsi:type="dcterms:W3CDTF">2025-06-27T20:37:50Z</dcterms:modified>
  <cp:category/>
  <cp:contentStatus/>
</cp:coreProperties>
</file>