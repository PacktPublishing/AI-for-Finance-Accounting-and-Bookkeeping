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xial Consulting\Automating-Bookeeping-with-AI\Course files\"/>
    </mc:Choice>
  </mc:AlternateContent>
  <xr:revisionPtr revIDLastSave="0" documentId="13_ncr:1_{834EC1B2-9AA5-45AC-9188-06D4A9D03070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Sheet1 (2)" sheetId="2" state="hidden" r:id="rId1"/>
    <sheet name="Transactions" sheetId="1" r:id="rId2"/>
    <sheet name="Payment terms" sheetId="3" r:id="rId3"/>
    <sheet name="Analysis1" sheetId="5" r:id="rId4"/>
    <sheet name="Detail1" sheetId="6" r:id="rId5"/>
    <sheet name="Detail2" sheetId="7" r:id="rId6"/>
    <sheet name="Sheet1" sheetId="4" r:id="rId7"/>
  </sheets>
  <definedNames>
    <definedName name="_xlnm._FilterDatabase" localSheetId="1" hidden="1">Transactions!$A$1:$I$151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1" l="1"/>
  <c r="G124" i="1"/>
  <c r="G122" i="1"/>
  <c r="G114" i="1"/>
  <c r="G92" i="1"/>
  <c r="G89" i="1"/>
  <c r="G36" i="1"/>
  <c r="G30" i="1"/>
  <c r="G24" i="1"/>
  <c r="G151" i="1"/>
  <c r="G144" i="1"/>
  <c r="G141" i="1"/>
  <c r="G51" i="1"/>
  <c r="G49" i="1"/>
  <c r="G47" i="1"/>
  <c r="G104" i="1"/>
  <c r="G85" i="1"/>
  <c r="G83" i="1"/>
  <c r="G116" i="1"/>
  <c r="G115" i="1"/>
  <c r="G91" i="1"/>
  <c r="G72" i="1"/>
  <c r="G70" i="1"/>
  <c r="G58" i="1"/>
  <c r="G56" i="1"/>
  <c r="G55" i="1"/>
  <c r="G27" i="1"/>
  <c r="G26" i="1"/>
  <c r="G105" i="1"/>
  <c r="G125" i="1"/>
  <c r="G133" i="1"/>
  <c r="G145" i="1"/>
  <c r="G102" i="1"/>
  <c r="G34" i="1"/>
  <c r="G19" i="1"/>
  <c r="G148" i="1"/>
  <c r="G136" i="1"/>
  <c r="G126" i="1"/>
  <c r="G68" i="1"/>
  <c r="G50" i="1"/>
  <c r="G88" i="1"/>
  <c r="G86" i="1"/>
  <c r="G119" i="1"/>
  <c r="G61" i="1"/>
  <c r="G59" i="1"/>
  <c r="G35" i="1"/>
  <c r="G32" i="1"/>
  <c r="G128" i="1"/>
  <c r="G95" i="1"/>
  <c r="G52" i="1"/>
  <c r="G46" i="1"/>
  <c r="G13" i="1"/>
  <c r="G110" i="1"/>
  <c r="G48" i="1"/>
  <c r="G147" i="1"/>
  <c r="G71" i="1"/>
  <c r="G22" i="1"/>
  <c r="G6" i="1"/>
  <c r="A6" i="5" a="1"/>
  <c r="A6" i="5" l="1"/>
  <c r="A24" i="5" a="1"/>
  <c r="A24" i="5" l="1"/>
  <c r="A9" i="5" a="1"/>
  <c r="A9" i="5" s="1"/>
  <c r="A32" i="5" a="1"/>
  <c r="A32" i="5" l="1"/>
  <c r="A27" i="5" a="1"/>
  <c r="A27" i="5" s="1"/>
  <c r="A50" i="5" a="1"/>
  <c r="A50" i="5" l="1"/>
  <c r="A35" i="5" a="1"/>
  <c r="A35" i="5" s="1"/>
  <c r="A68" i="5" a="1"/>
  <c r="A68" i="5" l="1"/>
  <c r="A53" i="5" a="1"/>
  <c r="A53" i="5" s="1"/>
  <c r="A86" i="5" a="1"/>
  <c r="A86" i="5" l="1"/>
  <c r="A71" i="5" a="1"/>
  <c r="A71" i="5" s="1"/>
  <c r="A94" i="5" a="1"/>
  <c r="A94" i="5" l="1"/>
  <c r="A89" i="5" a="1"/>
  <c r="A89" i="5" s="1"/>
  <c r="A103" i="5" a="1"/>
  <c r="A103" i="5" l="1"/>
  <c r="A97" i="5" a="1"/>
  <c r="A97" i="5" s="1"/>
  <c r="A121" i="5" a="1"/>
  <c r="A121" i="5" l="1"/>
  <c r="A106" i="5" a="1"/>
  <c r="A106" i="5" s="1"/>
  <c r="A139" i="5" a="1"/>
  <c r="A139" i="5" l="1"/>
  <c r="A124" i="5" a="1"/>
  <c r="A124" i="5" s="1"/>
  <c r="A155" i="5" a="1"/>
  <c r="A155" i="5" l="1"/>
  <c r="A142" i="5" a="1"/>
  <c r="A142" i="5" s="1"/>
  <c r="A164" i="5" a="1"/>
  <c r="A164" i="5" l="1"/>
  <c r="A158" i="5" a="1"/>
  <c r="A158" i="5" s="1"/>
  <c r="A173" i="5" a="1"/>
  <c r="A173" i="5" l="1"/>
  <c r="A167" i="5" a="1"/>
  <c r="A167" i="5" s="1"/>
  <c r="A191" i="5" a="1"/>
  <c r="A191" i="5" l="1"/>
  <c r="A176" i="5" a="1"/>
  <c r="A176" i="5" s="1"/>
  <c r="A207" i="5" a="1"/>
  <c r="A207" i="5" l="1"/>
  <c r="A194" i="5" a="1"/>
  <c r="A194" i="5" s="1"/>
  <c r="A225" i="5" a="1"/>
  <c r="A225" i="5" l="1"/>
  <c r="A210" i="5" a="1"/>
  <c r="A210" i="5" s="1"/>
  <c r="A234" i="5" a="1"/>
  <c r="A234" i="5" l="1"/>
  <c r="A228" i="5" a="1"/>
  <c r="A228" i="5" s="1"/>
  <c r="A246" i="5" a="1"/>
  <c r="A246" i="5" l="1"/>
  <c r="A237" i="5" a="1"/>
  <c r="A237" i="5" s="1"/>
  <c r="A266" i="5" a="1"/>
  <c r="A266" i="5" l="1"/>
  <c r="A286" i="5" a="1"/>
  <c r="A286" i="5" l="1"/>
  <c r="A3" i="6" a="1"/>
  <c r="A3" i="6" l="1"/>
  <c r="A3" i="7" a="1"/>
  <c r="A3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9">
    <bk>
      <extLst>
        <ext uri="{3e2802c4-a4d2-4d8b-9148-e3be6c30e623}">
          <xlrd:rvb i="5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</futureMetadata>
  <cellMetadata count="1">
    <bk>
      <rc t="1" v="0"/>
    </bk>
  </cellMetadata>
  <valueMetadata count="5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</valueMetadata>
</metadata>
</file>

<file path=xl/python.xml><?xml version="1.0" encoding="utf-8"?>
<python xmlns="http://schemas.microsoft.com/office/spreadsheetml/2023/python">
  <environmentDefinition id="{00000000-0000-0000-0000-000000000000}">
    <initialization>
      <code/>
    </initialization>
  </environmentDefinition>
  <pythonScripts>
    <pythonScript>
      <code>Transactions_A1_I151_df=xl(%P2%, headers=True)</code>
    </pythonScript>
    <pythonScript>
      <code>#Separate income from products and services
# Filter income from products
income_products = Transactions_A1_I151_df[(Transactions_A1_I151_df['Type'] == 'Income') &amp; (Transactions_A1_I151_df['Subtype'] == 'Product')]
# Filter income from services
income_services = Transactions_A1_I151_df[(Transactions_A1_I151_df['Type'] == 'Income') &amp; (Transactions_A1_I151_df['Subtype'] == 'Service')]
# Display the resulting DataFrames
income_products, income_services</code>
    </pythonScript>
    <pythonScript>
      <code>#Display income from products
# Display income from products
income_products</code>
    </pythonScript>
    <pythonScript>
      <code>#Display income from services
#Display income from services
# Display income from services
income_services</code>
    </pythonScript>
    <pythonScript>
      <code>#Receivable schedule for services table
# Create a receivable schedule for the 'services' table
# Calculate advance payment (30%%) and due payment (70%%)
services_receivable_schedule = income_services.copy()
services_receivable_schedule['Advance Payment'] = services_receivable_schedule['Total Price'] * 0.3
services_receivable_schedule['Due Payment'] = services_receivable_schedule['Total Price'] * 0.7
# Add a column for due payment date (10 days after the event date)
services_receivable_schedule['Due Payment Date'] = services_receivable_schedule['Date'] + pd.Timedelta(days=10)
# Display the resulting DataFrame
services_receivable_schedule</code>
    </pythonScript>
    <pythonScript>
      <code>#Calculate total sum of advance payment and payment due
# Calculate total sum of advance payment and payment due
# Sum of advance payment
total_advance_payment = services_receivable_schedule['Advance Payment'].sum()
# Sum of due payment
total_due_payment = services_receivable_schedule['Due Payment'].sum()
# Display the results
total_advance_payment, total_due_payment</code>
    </pythonScript>
    <pythonScript>
      <code>#Separate expenses into Event Costs, Administrative, and COGS
#Separate expenses into Event Costs, Administrative, and COGS
# Filter expenses for Event Costs
expense_event_costs = Transactions_A1_I151_df[(Transactions_A1_I151_df['Type'] == 'Expense') &amp; (Transactions_A1_I151_df['Subtype'] == 'Event cost')]
# Filter expenses for Administrative
expense_administrative = Transactions_A1_I151_df[(Transactions_A1_I151_df['Type'] == 'Expense') &amp; (Transactions_A1_I151_df['Subtype'] == 'Administrative')]
# Filter expenses for COGS
expense_cogs = Transactions_A1_I151_df[(Transactions_A1_I151_df['Type'] == 'Expense') &amp; (Transactions_A1_I151_df['Subtype'] == 'COGS')]
# Display the resulting DataFrames
expense_event_costs, expense_administrative, expense_cogs</code>
    </pythonScript>
    <pythonScript>
      <code>#Display expenses for Event Costs
#Display expenses for Event Costs
expense_event_costs</code>
    </pythonScript>
    <pythonScript>
      <code>#Display expenses for Administrative
#Display expenses for Administrative
#Display expenses for Administrative
expense_administrative</code>
    </pythonScript>
    <pythonScript>
      <code>#Display expenses for COGS
#Display expenses for COGS
#Display expenses for COGS
expense_cogs</code>
    </pythonScript>
    <pythonScript>
      <code>#Calculate total sum of each category
# Calculate total sum of each category
# Sum for Event Costs
total_event_costs = expense_event_costs['Total Price'].sum()
# Sum for Administrative
total_administrative = expense_administrative['Total Price'].sum()
# Sum for COGS
total_cogs = expense_cogs['Total Price'].sum()
# Display the results
total_event_costs, total_administrative, total_cogs</code>
    </pythonScript>
    <pythonScript>
      <code>#Create payment schedule for expenses
# Create payment schedule for Administrative
expense_administrative_schedule = expense_administrative.copy()
expense_administrative_schedule['Payment Due Date'] = expense_administrative_schedule['Date'] + pd.Timedelta(days=7)
# Create payment schedule for COGS
expense_cogs_schedule = expense_cogs.copy()
expense_cogs_schedule['Payment Due Date'] = expense_cogs_schedule['Date'] + pd.Timedelta(days=10)
# Create payment schedule for Event Costs
expense_event_costs_schedule = expense_event_costs.copy()
expense_event_costs_schedule['Payment Due Date'] = expense_event_costs_schedule['Date'] + pd.Timedelta(days=15)
# Display the resulting DataFrames
expense_administrative_schedule, expense_cogs_schedule, expense_event_costs_schedule</code>
    </pythonScript>
    <pythonScript>
      <code>#Display payment schedule for Administrative
expense_administrative_schedule</code>
    </pythonScript>
    <pythonScript>
      <code>#Display payment schedule for COGS
expense_cogs_schedule</code>
    </pythonScript>
    <pythonScript>
      <code>#Display payment schedule for Event Costs
expense_event_costs_schedule</code>
    </pythonScript>
    <pythonScript>
      <code>#Calculate total amount due for each payment term
#Calculate total amount due for each payment term
# Calculate total amount due for Administrative (7 days)
admin_due_7_days = expense_administrative['Total Price'].sum()
# Calculate total amount due for COGS (10 days)
cogs_due_10_days = expense_cogs['Total Price'].sum()
# Calculate total amount due for Event Costs (15 days)
event_costs_due_15_days = expense_event_costs['Total Price'].sum()
# Display the results
admin_due_7_days, cogs_due_10_days, event_costs_due_15_days</code>
    </pythonScript>
    <pythonScript>
      <code>#Comparison of income and expense schedules
#Compare income and expense schedules
# Aggregate income schedule totals
income_advance_total = services_receivable_schedule['Advance Payment'].sum()
income_due_total = services_receivable_schedule['Due Payment'].sum()
# Aggregate expense schedule totals
expense_admin_total = expense_administrative['Total Price'].sum()
expense_cogs_total = expense_cogs['Total Price'].sum()
expense_event_total = expense_event_costs['Total Price'].sum()
# Create a comparison DataFrame
comparison_df = pd.DataFrame({
    'Category': ['Income Advance', 'Income Due', 'Expense Admin (7 days)', 'Expense COGS (10 days)', 'Expense Event (15 days)'],
    'Total Amount': [income_advance_total, income_due_total, expense_admin_total, expense_cogs_total, expense_event_total]
})
# Display the comparison DataFrame
comparison_df</code>
    </pythonScript>
    <pythonScript>
      <code>#Bar chart for income and expense schedule comparison
#Visualize the comparison between income and expense schedules
plt.rcParams['font.family'] = ['Meiryo','Batang','TH SarabunPSK','SimHei','DejaVu Sans']
# Create a bar chart for comparison
plt.figure(figsize=(10, 6))
plt.bar(comparison_df['Category'], comparison_df['Total Amount'], color=['green', 'blue', 'red', 'orange', 'purple'])
plt.title('Comparison of Income and Expense Schedules')
plt.xlabel('Category')
plt.ylabel('Total Amount ($)')
plt.xticks(rotation=45)
plt.tight_layout()
plt.show()</code>
    </pythonScript>
    <pythonScript>
      <code>#Bar chart for clubbed comparison of income and expenses
#Club income and expense subtypes into one bar each
#Aggregate total income and total expenses
income_total = comparison_df.loc[comparison_df['Category'].str.contains('Income'), 'Total Amount'].sum()
expense_total = comparison_df.loc[comparison_df['Category'].str.contains('Expense'), 'Total Amount'].sum()
# Create a DataFrame for visualization
clubbed_comparison_df = pd.DataFrame({
    'Category': ['Total Income', 'Total Expenses'],
    'Total Amount': [income_total, expense_total]
})
# Create a bar chart for clubbed comparison
plt.figure(figsize=(8, 5))
plt.bar(clubbed_comparison_df['Category'], clubbed_comparison_df['Total Amount'], color=['green', 'red'])
plt.title('Clubbed Comparison of Income and Expenses')
plt.xlabel('Category')
plt.ylabel('Total Amount ($)')
plt.tight_layout()
plt.show()</code>
    </pythonScript>
    <pythonScript>
      <code>#Stacked bar chart for income and expense subtypes
#Stacked bar chart for income and expense subtypes
#Create stacked bar chart for income and expense subtypes
plt.rcParams['font.family'] = ['Meiryo','Batang','TH SarabunPSK','SimHei','DejaVu Sans']
# Data for stacked bar chart
income_values = [comparison_df.loc[comparison_df['Category'] == 'Income Advance', 'Total Amount'].values[0],
                 comparison_df.loc[comparison_df['Category'] == 'Income Due', 'Total Amount'].values[0]]
expense_values = [comparison_df.loc[comparison_df['Category'] == 'Expense Admin (7 days)', 'Total Amount'].values[0],
                  comparison_df.loc[comparison_df['Category'] == 'Expense COGS (10 days)', 'Total Amount'].values[0],
                  comparison_df.loc[comparison_df['Category'] == 'Expense Event (15 days)', 'Total Amount'].values[0]]
# Create stacked bar chart
fig, ax = plt.subplots(figsize=(10, 6))
bar_width = 0.5
# Income stacked bar
ax.bar('Income', income_values[0], bar_width, label='Advance Payment', color='green')
ax.bar('Income', income_values[1], bar_width, bottom=income_values[0], label='Due Payment', color='blue')
# Expense stacked bar
ax.bar('Expenses', expense_values[0], bar_width, label='Admin (7 days)', color='red')
ax.bar('Expenses', expense_values[1], bar_width, bottom=expense_values[0], label='COGS (10 days)', color='orange')
ax.bar('Expenses', expense_values[2], bar_width, bottom=expense_values[0] + expense_values[1], label='Event Costs (15 days)', color='purple')
# Add labels and legend
ax.set_title('Stacked Bar Chart of Income and Expense Subtypes')
ax.set_ylabel('Total Amount ($)')
ax.legend()
plt.tight_layout()
plt.show()</code>
    </pythonScript>
    <pythonScript>
      <code>xl(%P2%)</code>
    </pythonScript>
  </pythonScripts>
</python>
</file>

<file path=xl/sharedStrings.xml><?xml version="1.0" encoding="utf-8"?>
<sst xmlns="http://schemas.openxmlformats.org/spreadsheetml/2006/main" count="1576" uniqueCount="165">
  <si>
    <t>Date</t>
  </si>
  <si>
    <t>Item</t>
  </si>
  <si>
    <t>Type</t>
  </si>
  <si>
    <t>Quantity</t>
  </si>
  <si>
    <t>Per Unit Price</t>
  </si>
  <si>
    <t>Total Price</t>
  </si>
  <si>
    <t>Client Name</t>
  </si>
  <si>
    <t>Client City</t>
  </si>
  <si>
    <t>2025-03-12</t>
  </si>
  <si>
    <t>Vendor Payment - Sound System</t>
  </si>
  <si>
    <t>Expense</t>
  </si>
  <si>
    <t>N/A</t>
  </si>
  <si>
    <t>2025-04-17</t>
  </si>
  <si>
    <t>Lights</t>
  </si>
  <si>
    <t>Product</t>
  </si>
  <si>
    <t>James Wilson</t>
  </si>
  <si>
    <t>Towson</t>
  </si>
  <si>
    <t>2025-05-20</t>
  </si>
  <si>
    <t>Travel and Entertainment</t>
  </si>
  <si>
    <t>2025-04-14</t>
  </si>
  <si>
    <t>Birthday</t>
  </si>
  <si>
    <t>Service</t>
  </si>
  <si>
    <t>John Smith</t>
  </si>
  <si>
    <t>Frederick</t>
  </si>
  <si>
    <t>2025-04-08</t>
  </si>
  <si>
    <t>Vendor Payment - Flowers</t>
  </si>
  <si>
    <t>2025-05-25</t>
  </si>
  <si>
    <t>Balloons</t>
  </si>
  <si>
    <t>2025-03-25</t>
  </si>
  <si>
    <t>Corporate Event</t>
  </si>
  <si>
    <t>Michael Lee</t>
  </si>
  <si>
    <t>2025-03-21</t>
  </si>
  <si>
    <t>Salary Payment</t>
  </si>
  <si>
    <t>2025-05-07</t>
  </si>
  <si>
    <t>Transportation Cost</t>
  </si>
  <si>
    <t>2025-03-28</t>
  </si>
  <si>
    <t>Emma Davis</t>
  </si>
  <si>
    <t>Annapolis</t>
  </si>
  <si>
    <t>2025-05-08</t>
  </si>
  <si>
    <t>David Kim</t>
  </si>
  <si>
    <t>Baltimore</t>
  </si>
  <si>
    <t>2025-04-30</t>
  </si>
  <si>
    <t>2025-04-27</t>
  </si>
  <si>
    <t>Chairs</t>
  </si>
  <si>
    <t>2025-04-22</t>
  </si>
  <si>
    <t>2025-03-31</t>
  </si>
  <si>
    <t>2025-03-07</t>
  </si>
  <si>
    <t>2025-05-23</t>
  </si>
  <si>
    <t>Utility Bill</t>
  </si>
  <si>
    <t>Decoration pieces</t>
  </si>
  <si>
    <t>2025-03-05</t>
  </si>
  <si>
    <t>2025-03-23</t>
  </si>
  <si>
    <t>Venue Rental</t>
  </si>
  <si>
    <t>2025-04-04</t>
  </si>
  <si>
    <t>2025-04-24</t>
  </si>
  <si>
    <t>2025-05-27</t>
  </si>
  <si>
    <t>Anniversary</t>
  </si>
  <si>
    <t>Emily Clark</t>
  </si>
  <si>
    <t>2025-04-18</t>
  </si>
  <si>
    <t>Tables</t>
  </si>
  <si>
    <t>Sarah Johnson</t>
  </si>
  <si>
    <t>2025-05-22</t>
  </si>
  <si>
    <t>2025-03-03</t>
  </si>
  <si>
    <t>2025-03-29</t>
  </si>
  <si>
    <t>2025-04-03</t>
  </si>
  <si>
    <t>2025-04-19</t>
  </si>
  <si>
    <t>Curtains</t>
  </si>
  <si>
    <t>2025-05-05</t>
  </si>
  <si>
    <t>Rockville</t>
  </si>
  <si>
    <t>2025-05-09</t>
  </si>
  <si>
    <t>2025-05-06</t>
  </si>
  <si>
    <t>2025-03-15</t>
  </si>
  <si>
    <t>Software Subscription</t>
  </si>
  <si>
    <t>2025-03-26</t>
  </si>
  <si>
    <t>Baby Shower</t>
  </si>
  <si>
    <t>2025-05-14</t>
  </si>
  <si>
    <t>2025-05-28</t>
  </si>
  <si>
    <t>2025-04-20</t>
  </si>
  <si>
    <t>2025-05-29</t>
  </si>
  <si>
    <t>Wedding</t>
  </si>
  <si>
    <t>2025-04-10</t>
  </si>
  <si>
    <t>2025-04-13</t>
  </si>
  <si>
    <t>2025-03-01</t>
  </si>
  <si>
    <t>2025-05-15</t>
  </si>
  <si>
    <t>2025-04-05</t>
  </si>
  <si>
    <t>2025-03-14</t>
  </si>
  <si>
    <t>Props</t>
  </si>
  <si>
    <t>2025-05-13</t>
  </si>
  <si>
    <t>2025-04-01</t>
  </si>
  <si>
    <t>2025-05-26</t>
  </si>
  <si>
    <t>2025-05-01</t>
  </si>
  <si>
    <t>2025-05-21</t>
  </si>
  <si>
    <t>2025-05-18</t>
  </si>
  <si>
    <t>2025-02-28</t>
  </si>
  <si>
    <t>2025-03-13</t>
  </si>
  <si>
    <t>2025-03-22</t>
  </si>
  <si>
    <t>2025-05-10</t>
  </si>
  <si>
    <t>2025-04-28</t>
  </si>
  <si>
    <t>2025-04-21</t>
  </si>
  <si>
    <t>2025-03-16</t>
  </si>
  <si>
    <t>2025-04-11</t>
  </si>
  <si>
    <t>2025-03-06</t>
  </si>
  <si>
    <t>2025-03-24</t>
  </si>
  <si>
    <t>Flowers</t>
  </si>
  <si>
    <t>2025-04-09</t>
  </si>
  <si>
    <t>2025-03-08</t>
  </si>
  <si>
    <t>2025-05-17</t>
  </si>
  <si>
    <t>2025-05-11</t>
  </si>
  <si>
    <t>2025-04-26</t>
  </si>
  <si>
    <t>2025-03-04</t>
  </si>
  <si>
    <t>2025-04-16</t>
  </si>
  <si>
    <t>2025-05-04</t>
  </si>
  <si>
    <t>2025-05-19</t>
  </si>
  <si>
    <t>2025-03-30</t>
  </si>
  <si>
    <t>2025-04-06</t>
  </si>
  <si>
    <t>2025-03-09</t>
  </si>
  <si>
    <t>Subtype</t>
  </si>
  <si>
    <t>Administrative</t>
  </si>
  <si>
    <t>Income</t>
  </si>
  <si>
    <t>Event cost</t>
  </si>
  <si>
    <t>AAA Party Rentals</t>
  </si>
  <si>
    <t>Vendor Payment - Catering</t>
  </si>
  <si>
    <t>Better Catering</t>
  </si>
  <si>
    <t>Utility Bill- Electricity Office</t>
  </si>
  <si>
    <t>Purchase of fabric</t>
  </si>
  <si>
    <t>COGS</t>
  </si>
  <si>
    <t>Willow Oak Flower and Herb Farm</t>
  </si>
  <si>
    <t>Purchase of Cutlery</t>
  </si>
  <si>
    <t>Purchase of Wood</t>
  </si>
  <si>
    <t>Utility Bill- Warehouse</t>
  </si>
  <si>
    <t>Jack's House of Music</t>
  </si>
  <si>
    <t>AAA Sound Systems</t>
  </si>
  <si>
    <t>All Flower Inc.</t>
  </si>
  <si>
    <t>Purchase of chairs</t>
  </si>
  <si>
    <t>Utility Bill- Electricity Warehouse</t>
  </si>
  <si>
    <t>Purchase of décor items</t>
  </si>
  <si>
    <t>Utility Bill- Office</t>
  </si>
  <si>
    <t>Purchase of steps</t>
  </si>
  <si>
    <t>Purchase-balloons</t>
  </si>
  <si>
    <t>#</t>
  </si>
  <si>
    <t>Payment terms</t>
  </si>
  <si>
    <t>7 days</t>
  </si>
  <si>
    <t>15 days</t>
  </si>
  <si>
    <t>10 days</t>
  </si>
  <si>
    <t>30% is paid in advance and 70% is paid 10 days after the event</t>
  </si>
  <si>
    <t>On purchase</t>
  </si>
  <si>
    <t>Analysis Sheet</t>
  </si>
  <si>
    <t>This sheet will include all the Python formulas generated by Copilot.</t>
  </si>
  <si>
    <t>Load data from Transactions, A1:I151</t>
  </si>
  <si>
    <t>Preview</t>
  </si>
  <si>
    <t>Separate income from products and services</t>
  </si>
  <si>
    <t>Display income from products</t>
  </si>
  <si>
    <t>Display income from services</t>
  </si>
  <si>
    <t>Receivable schedule for services table</t>
  </si>
  <si>
    <t>Calculate total sum of advance payment and payment due</t>
  </si>
  <si>
    <t>Separate expenses into Event Costs, Administrative, and COGS</t>
  </si>
  <si>
    <t>Display expenses for Event Costs</t>
  </si>
  <si>
    <t>Display expenses for Administrative</t>
  </si>
  <si>
    <t>Display expenses for COGS</t>
  </si>
  <si>
    <t>Python code</t>
  </si>
  <si>
    <t>Calculate total amount due for each payment term</t>
  </si>
  <si>
    <t>Comparison of income and expense schedules</t>
  </si>
  <si>
    <t>Bar chart for income and expense schedule comparison</t>
  </si>
  <si>
    <t>Bar chart for clubbed comparison of income and expenses</t>
  </si>
  <si>
    <t>Stacked bar chart for income and expense subtypes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</si>
</sst>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156082"/>
      <name val="Calibri"/>
      <family val="2"/>
      <scheme val="minor"/>
    </font>
    <font>
      <b/>
      <sz val="14"/>
      <color rgb="FF15608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Font="1" applyBorder="1" applyAlignment="1">
      <alignment horizontal="center" vertical="top"/>
    </xf>
    <xf numFmtId="164" fontId="0" fillId="0" borderId="0" xfId="1" applyFont="1"/>
    <xf numFmtId="15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1" applyFont="1" applyFill="1" applyAlignment="1">
      <alignment horizontal="center" vertical="center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haredStrings" Target="sharedString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246</xdr:row>
      <xdr:rowOff>0</xdr:rowOff>
    </xdr:from>
    <xdr:to>
      <xdr:col>6</xdr:col>
      <xdr:colOff>403925</xdr:colOff>
      <xdr:row>262</xdr:row>
      <xdr:rowOff>0</xdr:rowOff>
    </xdr:to>
    <xdr:pic>
      <xdr:nvPicPr>
        <xdr:cNvPr id="2" name="Picture 1" title="Bar chart for income and expense schedule comparison">
          <a:extLst>
            <a:ext uri="{FF2B5EF4-FFF2-40B4-BE49-F238E27FC236}">
              <a16:creationId xmlns:a16="http://schemas.microsoft.com/office/drawing/2014/main" id="{CE141659-A6F5-5EC9-F53B-D30D73FB80B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246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91725"/>
          <a:ext cx="5109275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6</xdr:col>
      <xdr:colOff>202552</xdr:colOff>
      <xdr:row>282</xdr:row>
      <xdr:rowOff>0</xdr:rowOff>
    </xdr:to>
    <xdr:pic>
      <xdr:nvPicPr>
        <xdr:cNvPr id="3" name="Picture 2" title="Bar chart for clubbed comparison of income and expenses">
          <a:extLst>
            <a:ext uri="{FF2B5EF4-FFF2-40B4-BE49-F238E27FC236}">
              <a16:creationId xmlns:a16="http://schemas.microsoft.com/office/drawing/2014/main" id="{44889FFB-2828-A439-D51D-C742FEFDA9D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266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949350"/>
          <a:ext cx="4907902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6</xdr:col>
      <xdr:colOff>403925</xdr:colOff>
      <xdr:row>302</xdr:row>
      <xdr:rowOff>0</xdr:rowOff>
    </xdr:to>
    <xdr:pic>
      <xdr:nvPicPr>
        <xdr:cNvPr id="4" name="Picture 3" title="Stacked bar chart for income and expense subtypes">
          <a:extLst>
            <a:ext uri="{FF2B5EF4-FFF2-40B4-BE49-F238E27FC236}">
              <a16:creationId xmlns:a16="http://schemas.microsoft.com/office/drawing/2014/main" id="{BD16C80A-5A44-E8A2-ECC7-CEB6F43C0A9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286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5806975"/>
          <a:ext cx="5109275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8">
  <a r="12" c="10">
    <v t="s"/>
    <v t="s">Date</v>
    <v t="s">Item</v>
    <v t="s">Type</v>
    <v t="s">Subtype</v>
    <v t="s">Quantity</v>
    <v t="s">Per Unit Price</v>
    <v t="s">Total Price</v>
    <v t="s">Client Name</v>
    <v t="s">Client City</v>
    <v>0</v>
    <v t="r">0</v>
    <v t="s">Travel and Entertainment</v>
    <v t="s">Expense</v>
    <v t="s">Administrative</v>
    <v t="r">1</v>
    <v t="r">1</v>
    <v>139</v>
    <v t="s">N/A</v>
    <v t="s">N/A</v>
    <v>1</v>
    <v t="r">0</v>
    <v t="s">Birthday</v>
    <v t="s">Income</v>
    <v t="s">Service</v>
    <v t="r">1</v>
    <v t="r">1</v>
    <v>2700</v>
    <v t="s">John Smith</v>
    <v t="s">Frederick</v>
    <v>2</v>
    <v t="r">0</v>
    <v t="s">Travel and Entertainment</v>
    <v t="s">Expense</v>
    <v t="s">Administrative</v>
    <v t="r">1</v>
    <v t="r">1</v>
    <v>1050</v>
    <v t="s">N/A</v>
    <v t="s">N/A</v>
    <v>3</v>
    <v t="r">0</v>
    <v t="s">Vendor Payment - Flowers</v>
    <v t="s">Expense</v>
    <v t="s">Event cost</v>
    <v t="r">1</v>
    <v t="r">1</v>
    <v>338</v>
    <v t="s">AAA Party Rentals</v>
    <v t="s">N/A</v>
    <v>4</v>
    <v t="r">0</v>
    <v t="s">Balloons</v>
    <v t="s">Income</v>
    <v t="s">Product</v>
    <v>40</v>
    <v>2</v>
    <v>80</v>
    <v t="s">John Smith</v>
    <v t="s">Towson</v>
    <v t="s">...</v>
    <v t="s">...</v>
    <v t="s">...</v>
    <v t="s">...</v>
    <v t="s">...</v>
    <v t="s">...</v>
    <v t="s">...</v>
    <v t="s">...</v>
    <v t="s">...</v>
    <v t="s">...</v>
    <v>145</v>
    <v t="r">2</v>
    <v t="s">Balloons</v>
    <v t="s">Income</v>
    <v t="s">Product</v>
    <v>25</v>
    <v>2</v>
    <v>50</v>
    <v t="s">Emily Clark</v>
    <v t="s">Baltimore</v>
    <v>146</v>
    <v t="r">2</v>
    <v t="s">Curtains</v>
    <v t="s">Income</v>
    <v t="s">Product</v>
    <v>8</v>
    <v>25</v>
    <v>200</v>
    <v t="s">Michael Lee</v>
    <v t="s">Annapolis</v>
    <v>147</v>
    <v t="r">2</v>
    <v t="s">Vendor Payment - Flowers</v>
    <v t="s">Expense</v>
    <v t="s">Event cost</v>
    <v t="r">1</v>
    <v t="r">1</v>
    <v>1328</v>
    <v t="s">AAA Party Rentals</v>
    <v t="s">N/A</v>
    <v>148</v>
    <v t="r">2</v>
    <v t="s">Vendor Payment - Catering</v>
    <v t="s">Expense</v>
    <v t="s">Event cost</v>
    <v t="r">1</v>
    <v t="r">1</v>
    <v>351</v>
    <v t="s">Better Catering</v>
    <v t="s">N/A</v>
    <v>149</v>
    <v t="r">2</v>
    <v t="s">Lights</v>
    <v t="s">Income</v>
    <v t="s">Product</v>
    <v>4</v>
    <v>93</v>
    <v>372</v>
    <v t="s">James Wilson</v>
    <v t="s">Towson</v>
  </a>
  <a r="2">
    <v t="s">&lt;DataFrame&gt;</v>
    <v t="s">&lt;DataFrame&gt;</v>
  </a>
  <a r="12" c="10">
    <v t="s"/>
    <v t="s">Date</v>
    <v t="s">Item</v>
    <v t="s">Type</v>
    <v t="s">Subtype</v>
    <v t="s">Quantity</v>
    <v t="s">Per Unit Price</v>
    <v t="s">Total Price</v>
    <v t="s">Client Name</v>
    <v t="s">Client City</v>
    <v>4</v>
    <v t="r">0</v>
    <v t="s">Balloons</v>
    <v t="s">Income</v>
    <v t="s">Product</v>
    <v>40</v>
    <v>2</v>
    <v>80</v>
    <v t="s">John Smith</v>
    <v t="s">Towson</v>
    <v>11</v>
    <v t="r">9</v>
    <v t="s">Chairs</v>
    <v t="s">Income</v>
    <v t="s">Product</v>
    <v>20</v>
    <v>10</v>
    <v>200</v>
    <v t="s">James Wilson</v>
    <v t="s">Annapolis</v>
    <v>17</v>
    <v t="r">10</v>
    <v t="s">Decoration pieces</v>
    <v t="s">Income</v>
    <v t="s">Product</v>
    <v>20</v>
    <v>89</v>
    <v>1780</v>
    <v t="s">David Kim</v>
    <v t="s">Towson</v>
    <v>20</v>
    <v t="r">10</v>
    <v t="s">Balloons</v>
    <v t="s">Income</v>
    <v t="s">Product</v>
    <v>80</v>
    <v>2</v>
    <v>160</v>
    <v t="s">James Wilson</v>
    <v t="s">Towson</v>
    <v>24</v>
    <v t="r">11</v>
    <v t="s">Tables</v>
    <v t="s">Income</v>
    <v t="s">Product</v>
    <v>4</v>
    <v>60</v>
    <v>240</v>
    <v t="s">Sarah Johnson</v>
    <v t="s">Towson</v>
    <v t="s">...</v>
    <v t="s">...</v>
    <v t="s">...</v>
    <v t="s">...</v>
    <v t="s">...</v>
    <v t="s">...</v>
    <v t="s">...</v>
    <v t="s">...</v>
    <v t="s">...</v>
    <v t="s">...</v>
    <v>142</v>
    <v t="r">12</v>
    <v t="s">Tables</v>
    <v t="s">Income</v>
    <v t="s">Product</v>
    <v>1</v>
    <v>64</v>
    <v>64</v>
    <v t="s">Sarah Johnson</v>
    <v t="s">Rockville</v>
    <v>143</v>
    <v t="r">12</v>
    <v t="s">Flowers</v>
    <v t="s">Income</v>
    <v t="s">Product</v>
    <v>30</v>
    <v>42</v>
    <v>1260</v>
    <v t="s">David Kim</v>
    <v t="s">Annapolis</v>
    <v>145</v>
    <v t="r">2</v>
    <v t="s">Balloons</v>
    <v t="s">Income</v>
    <v t="s">Product</v>
    <v>25</v>
    <v>2</v>
    <v>50</v>
    <v t="s">Emily Clark</v>
    <v t="s">Baltimore</v>
    <v>146</v>
    <v t="r">2</v>
    <v t="s">Curtains</v>
    <v t="s">Income</v>
    <v t="s">Product</v>
    <v>8</v>
    <v>25</v>
    <v>200</v>
    <v t="s">Michael Lee</v>
    <v t="s">Annapolis</v>
    <v>149</v>
    <v t="r">2</v>
    <v t="s">Lights</v>
    <v t="s">Income</v>
    <v t="s">Product</v>
    <v>4</v>
    <v>93</v>
    <v>372</v>
    <v t="s">James Wilson</v>
    <v t="s">Towson</v>
  </a>
  <a r="12" c="10">
    <v t="s"/>
    <v t="s">Date</v>
    <v t="s">Item</v>
    <v t="s">Type</v>
    <v t="s">Subtype</v>
    <v t="s">Quantity</v>
    <v t="s">Per Unit Price</v>
    <v t="s">Total Price</v>
    <v t="s">Client Name</v>
    <v t="s">Client City</v>
    <v>1</v>
    <v t="r">0</v>
    <v t="s">Birthday</v>
    <v t="s">Income</v>
    <v t="s">Service</v>
    <v t="r">1</v>
    <v t="r">1</v>
    <v>2700</v>
    <v t="s">John Smith</v>
    <v t="s">Frederick</v>
    <v>5</v>
    <v t="r">0</v>
    <v t="s">Corporate Event</v>
    <v t="s">Income</v>
    <v t="s">Service</v>
    <v t="r">1</v>
    <v t="r">1</v>
    <v>805</v>
    <v t="s">Michael Lee</v>
    <v t="s">Towson</v>
    <v>8</v>
    <v t="r">9</v>
    <v t="s">Birthday</v>
    <v t="s">Income</v>
    <v t="s">Service</v>
    <v t="r">1</v>
    <v t="r">1</v>
    <v>1416</v>
    <v t="s">Emma Davis</v>
    <v t="s">Annapolis</v>
    <v>9</v>
    <v t="r">9</v>
    <v t="s">Birthday</v>
    <v t="s">Income</v>
    <v t="s">Service</v>
    <v t="r">1</v>
    <v t="r">1</v>
    <v>2050</v>
    <v t="s">David Kim</v>
    <v t="s">Baltimore</v>
    <v>12</v>
    <v t="r">16</v>
    <v t="s">Birthday</v>
    <v t="s">Income</v>
    <v t="s">Service</v>
    <v t="r">1</v>
    <v t="r">1</v>
    <v>1166</v>
    <v t="s">Emma Davis</v>
    <v t="s">Annapolis</v>
    <v t="s">...</v>
    <v t="s">...</v>
    <v t="s">...</v>
    <v t="s">...</v>
    <v t="s">...</v>
    <v t="s">...</v>
    <v t="s">...</v>
    <v t="s">...</v>
    <v t="s">...</v>
    <v t="s">...</v>
    <v>135</v>
    <v t="r">17</v>
    <v t="s">Corporate Event</v>
    <v t="s">Income</v>
    <v t="s">Service</v>
    <v t="r">1</v>
    <v t="r">1</v>
    <v>1367</v>
    <v t="s">Emma Davis</v>
    <v t="s">Baltimore</v>
    <v>136</v>
    <v t="r">17</v>
    <v t="s">Wedding</v>
    <v t="s">Income</v>
    <v t="s">Service</v>
    <v t="r">1</v>
    <v t="r">1</v>
    <v>1633</v>
    <v t="s">John Smith</v>
    <v t="s">Baltimore</v>
    <v>137</v>
    <v t="r">17</v>
    <v t="s">Anniversary</v>
    <v t="s">Income</v>
    <v t="s">Service</v>
    <v t="r">1</v>
    <v t="r">1</v>
    <v>1461</v>
    <v t="s">David Kim</v>
    <v t="s">Rockville</v>
    <v>138</v>
    <v t="r">18</v>
    <v t="s">Baby Shower</v>
    <v t="s">Income</v>
    <v t="s">Service</v>
    <v t="r">1</v>
    <v t="r">1</v>
    <v>2559</v>
    <v t="s">John Smith</v>
    <v t="s">Annapolis</v>
    <v>141</v>
    <v t="r">12</v>
    <v t="s">Corporate Event</v>
    <v t="s">Income</v>
    <v t="s">Service</v>
    <v t="r">1</v>
    <v t="r">1</v>
    <v>886</v>
    <v t="s">James Wilson</v>
    <v t="s">Annapolis</v>
  </a>
  <a r="12" c="12">
    <v t="s"/>
    <v t="s">Date</v>
    <v t="s">Item</v>
    <v t="s">Type</v>
    <v t="s">Subtype</v>
    <v t="s">Quantity</v>
    <v t="s">...</v>
    <v t="s">Client Name</v>
    <v t="s">Client City</v>
    <v t="s">Advance Payment</v>
    <v t="s">Due Payment</v>
    <v t="s">Due Payment Date</v>
    <v>1</v>
    <v t="r">0</v>
    <v t="s">Birthday</v>
    <v t="s">Income</v>
    <v t="s">Service</v>
    <v t="r">1</v>
    <v t="s">...</v>
    <v t="s">John Smith</v>
    <v t="s">Frederick</v>
    <v>810</v>
    <v>1889.9999999999998</v>
    <v t="r">22</v>
    <v>5</v>
    <v t="r">0</v>
    <v t="s">Corporate Event</v>
    <v t="s">Income</v>
    <v t="s">Service</v>
    <v t="r">1</v>
    <v t="s">...</v>
    <v t="s">Michael Lee</v>
    <v t="s">Towson</v>
    <v>241.5</v>
    <v>563.5</v>
    <v t="r">22</v>
    <v>8</v>
    <v t="r">9</v>
    <v t="s">Birthday</v>
    <v t="s">Income</v>
    <v t="s">Service</v>
    <v t="r">1</v>
    <v t="s">...</v>
    <v t="s">Emma Davis</v>
    <v t="s">Annapolis</v>
    <v>424.8</v>
    <v>991.19999999999993</v>
    <v t="r">23</v>
    <v>9</v>
    <v t="r">9</v>
    <v t="s">Birthday</v>
    <v t="s">Income</v>
    <v t="s">Service</v>
    <v t="r">1</v>
    <v t="s">...</v>
    <v t="s">David Kim</v>
    <v t="s">Baltimore</v>
    <v>615</v>
    <v>1435</v>
    <v t="r">23</v>
    <v>12</v>
    <v t="r">16</v>
    <v t="s">Birthday</v>
    <v t="s">Income</v>
    <v t="s">Service</v>
    <v t="r">1</v>
    <v t="s">...</v>
    <v t="s">Emma Davis</v>
    <v t="s">Annapolis</v>
    <v>349.8</v>
    <v>816.19999999999993</v>
    <v t="r">24</v>
    <v t="s">...</v>
    <v t="s">...</v>
    <v t="s">...</v>
    <v t="s">...</v>
    <v t="s">...</v>
    <v t="s">...</v>
    <v t="s">...</v>
    <v t="s">...</v>
    <v t="s">...</v>
    <v t="s">...</v>
    <v t="s">...</v>
    <v t="s">...</v>
    <v>135</v>
    <v t="r">17</v>
    <v t="s">Corporate Event</v>
    <v t="s">Income</v>
    <v t="s">Service</v>
    <v t="r">1</v>
    <v t="s">...</v>
    <v t="s">Emma Davis</v>
    <v t="s">Baltimore</v>
    <v>410.09999999999997</v>
    <v>956.9</v>
    <v t="r">25</v>
    <v>136</v>
    <v t="r">17</v>
    <v t="s">Wedding</v>
    <v t="s">Income</v>
    <v t="s">Service</v>
    <v t="r">1</v>
    <v t="s">...</v>
    <v t="s">John Smith</v>
    <v t="s">Baltimore</v>
    <v>489.9</v>
    <v>1143.0999999999999</v>
    <v t="r">25</v>
    <v>137</v>
    <v t="r">17</v>
    <v t="s">Anniversary</v>
    <v t="s">Income</v>
    <v t="s">Service</v>
    <v t="r">1</v>
    <v t="s">...</v>
    <v t="s">David Kim</v>
    <v t="s">Rockville</v>
    <v>438.3</v>
    <v>1022.6999999999999</v>
    <v t="r">25</v>
    <v>138</v>
    <v t="r">18</v>
    <v t="s">Baby Shower</v>
    <v t="s">Income</v>
    <v t="s">Service</v>
    <v t="r">1</v>
    <v t="s">...</v>
    <v t="s">John Smith</v>
    <v t="s">Annapolis</v>
    <v>767.69999999999993</v>
    <v>1791.3</v>
    <v t="r">26</v>
    <v>141</v>
    <v t="r">12</v>
    <v t="s">Corporate Event</v>
    <v t="s">Income</v>
    <v t="s">Service</v>
    <v t="r">1</v>
    <v t="s">...</v>
    <v t="s">James Wilson</v>
    <v t="s">Annapolis</v>
    <v>265.8</v>
    <v>620.19999999999993</v>
    <v t="r">27</v>
  </a>
  <a r="2">
    <v>20411.399999999998</v>
    <v>47626.599999999991</v>
  </a>
  <a r="3">
    <v t="s">&lt;DataFrame&gt;</v>
    <v t="s">&lt;DataFrame&gt;</v>
    <v t="s">&lt;DataFrame&gt;</v>
  </a>
  <a r="12" c="10">
    <v t="s"/>
    <v t="s">Date</v>
    <v t="s">Item</v>
    <v t="s">Type</v>
    <v t="s">Subtype</v>
    <v t="s">Quantity</v>
    <v t="s">Per Unit Price</v>
    <v t="s">Total Price</v>
    <v t="s">Client Name</v>
    <v t="s">Client City</v>
    <v>3</v>
    <v t="r">0</v>
    <v t="s">Vendor Payment - Flowers</v>
    <v t="s">Expense</v>
    <v t="s">Event cost</v>
    <v t="r">1</v>
    <v t="r">1</v>
    <v>338</v>
    <v t="s">AAA Party Rentals</v>
    <v t="s">N/A</v>
    <v>7</v>
    <v t="r">0</v>
    <v t="s">Transportation Cost</v>
    <v t="s">Expense</v>
    <v t="s">Event cost</v>
    <v t="r">1</v>
    <v t="r">1</v>
    <v>219</v>
    <v t="s">N/A</v>
    <v t="s">N/A</v>
    <v>10</v>
    <v t="r">9</v>
    <v t="s">Vendor Payment - Flowers</v>
    <v t="s">Expense</v>
    <v t="s">Event cost</v>
    <v t="r">1</v>
    <v t="r">1</v>
    <v>93</v>
    <v t="s">AAA Party Rentals</v>
    <v t="s">N/A</v>
    <v>15</v>
    <v t="r">16</v>
    <v t="s">Vendor Payment - Catering</v>
    <v t="s">Expense</v>
    <v t="s">Event cost</v>
    <v t="r">1</v>
    <v t="r">1</v>
    <v>402</v>
    <v t="s">Better Catering</v>
    <v t="s">N/A</v>
    <v>19</v>
    <v t="r">10</v>
    <v t="s">Vendor Payment - Catering</v>
    <v t="s">Expense</v>
    <v t="s">Event cost</v>
    <v t="r">1</v>
    <v t="r">1</v>
    <v>1136</v>
    <v t="s">N/A</v>
    <v t="s">N/A</v>
    <v t="s">...</v>
    <v t="s">...</v>
    <v t="s">...</v>
    <v t="s">...</v>
    <v t="s">...</v>
    <v t="s">...</v>
    <v t="s">...</v>
    <v t="s">...</v>
    <v t="s">...</v>
    <v t="s">...</v>
    <v>127</v>
    <v t="r">37</v>
    <v t="s">Transportation Cost</v>
    <v t="s">Expense</v>
    <v t="s">Event cost</v>
    <v t="r">1</v>
    <v t="r">1</v>
    <v>792</v>
    <v t="s">N/A</v>
    <v t="s">N/A</v>
    <v>132</v>
    <v t="r">17</v>
    <v t="s">Vendor Payment - Flowers</v>
    <v t="s">Expense</v>
    <v t="s">Event cost</v>
    <v t="r">1</v>
    <v t="r">1</v>
    <v>1483</v>
    <v t="s">All Flower Inc.</v>
    <v t="s">N/A</v>
    <v>140</v>
    <v t="r">12</v>
    <v t="s">Venue Rental</v>
    <v t="s">Expense</v>
    <v t="s">Event cost</v>
    <v t="r">1</v>
    <v t="r">1</v>
    <v>655</v>
    <v t="s">N/A</v>
    <v t="s">N/A</v>
    <v>147</v>
    <v t="r">2</v>
    <v t="s">Vendor Payment - Flowers</v>
    <v t="s">Expense</v>
    <v t="s">Event cost</v>
    <v t="r">1</v>
    <v t="r">1</v>
    <v>1328</v>
    <v t="s">AAA Party Rentals</v>
    <v t="s">N/A</v>
    <v>148</v>
    <v t="r">2</v>
    <v t="s">Vendor Payment - Catering</v>
    <v t="s">Expense</v>
    <v t="s">Event cost</v>
    <v t="r">1</v>
    <v t="r">1</v>
    <v>351</v>
    <v t="s">Better Catering</v>
    <v t="s">N/A</v>
  </a>
  <a r="12" c="10">
    <v t="s"/>
    <v t="s">Date</v>
    <v t="s">Item</v>
    <v t="s">Type</v>
    <v t="s">Subtype</v>
    <v t="s">Quantity</v>
    <v t="s">Per Unit Price</v>
    <v t="s">Total Price</v>
    <v t="s">Client Name</v>
    <v t="s">Client City</v>
    <v>0</v>
    <v t="r">0</v>
    <v t="s">Travel and Entertainment</v>
    <v t="s">Expense</v>
    <v t="s">Administrative</v>
    <v t="r">1</v>
    <v t="r">1</v>
    <v>139</v>
    <v t="s">N/A</v>
    <v t="s">N/A</v>
    <v>2</v>
    <v t="r">0</v>
    <v t="s">Travel and Entertainment</v>
    <v t="s">Expense</v>
    <v t="s">Administrative</v>
    <v t="r">1</v>
    <v t="r">1</v>
    <v>1050</v>
    <v t="s">N/A</v>
    <v t="s">N/A</v>
    <v>6</v>
    <v t="r">0</v>
    <v t="s">Salary Payment</v>
    <v t="s">Expense</v>
    <v t="s">Administrative</v>
    <v t="r">1</v>
    <v t="r">1</v>
    <v>638</v>
    <v t="s">N/A</v>
    <v t="s">N/A</v>
    <v>14</v>
    <v t="r">16</v>
    <v t="s">Travel and Entertainment</v>
    <v t="s">Expense</v>
    <v t="s">Administrative</v>
    <v t="r">1</v>
    <v t="r">1</v>
    <v>955</v>
    <v t="s">N/A</v>
    <v t="s">N/A</v>
    <v>16</v>
    <v t="r">16</v>
    <v t="s">Utility Bill- Electricity Office</v>
    <v t="s">Expense</v>
    <v t="s">Administrative</v>
    <v t="r">1</v>
    <v t="r">1</v>
    <v>375</v>
    <v t="s">N/A</v>
    <v t="s">N/A</v>
    <v t="s">...</v>
    <v t="s">...</v>
    <v t="s">...</v>
    <v t="s">...</v>
    <v t="s">...</v>
    <v t="s">...</v>
    <v t="s">...</v>
    <v t="s">...</v>
    <v t="s">...</v>
    <v t="s">...</v>
    <v>110</v>
    <v t="r">41</v>
    <v t="s">Utility Bill- Electricity Warehouse</v>
    <v t="s">Expense</v>
    <v t="s">Administrative</v>
    <v t="r">1</v>
    <v t="r">1</v>
    <v>824</v>
    <v t="s">N/A</v>
    <v t="s">N/A</v>
    <v>116</v>
    <v t="r">42</v>
    <v t="s">Utility Bill- Office</v>
    <v t="s">Expense</v>
    <v t="s">Administrative</v>
    <v t="r">1</v>
    <v t="r">1</v>
    <v>699</v>
    <v t="s">N/A</v>
    <v t="s">N/A</v>
    <v>119</v>
    <v t="r">42</v>
    <v t="s">Travel and Entertainment</v>
    <v t="s">Expense</v>
    <v t="s">Administrative</v>
    <v t="r">1</v>
    <v t="r">1</v>
    <v>1209</v>
    <v t="s">N/A</v>
    <v t="s">N/A</v>
    <v>125</v>
    <v t="r">37</v>
    <v t="s">Software Subscription</v>
    <v t="s">Expense</v>
    <v t="s">Administrative</v>
    <v t="r">1</v>
    <v t="r">1</v>
    <v>919</v>
    <v t="s">N/A</v>
    <v t="s">N/A</v>
    <v>128</v>
    <v t="r">37</v>
    <v t="s">Travel and Entertainment</v>
    <v t="s">Expense</v>
    <v t="s">Administrative</v>
    <v t="r">1</v>
    <v t="r">1</v>
    <v>535</v>
    <v t="s">N/A</v>
    <v t="s">N/A</v>
  </a>
  <a r="10" c="10">
    <v t="s"/>
    <v t="s">Date</v>
    <v t="s">Item</v>
    <v t="s">Type</v>
    <v t="s">Subtype</v>
    <v t="s">Quantity</v>
    <v t="s">Per Unit Price</v>
    <v t="s">Total Price</v>
    <v t="s">Client Name</v>
    <v t="s">Client City</v>
    <v>22</v>
    <v t="r">10</v>
    <v t="s">Purchase of fabric</v>
    <v t="s">Expense</v>
    <v t="s">COGS</v>
    <v>20</v>
    <v>5</v>
    <v>100</v>
    <v t="s">N/A</v>
    <v t="s">N/A</v>
    <v>28</v>
    <v t="r">11</v>
    <v t="s">Purchase of Cutlery</v>
    <v t="s">Expense</v>
    <v t="s">COGS</v>
    <v>100</v>
    <v>5</v>
    <v>500</v>
    <v t="s">N/A</v>
    <v t="s">N/A</v>
    <v>34</v>
    <v t="r">46</v>
    <v t="s">Purchase of Wood</v>
    <v t="s">Expense</v>
    <v t="s">COGS</v>
    <v>10</v>
    <v>8</v>
    <v>80</v>
    <v t="s">N/A</v>
    <v t="s">N/A</v>
    <v>87</v>
    <v t="r">47</v>
    <v t="s">Purchase of chairs</v>
    <v t="s">Expense</v>
    <v t="s">COGS</v>
    <v>40</v>
    <v>12</v>
    <v>480</v>
    <v t="s">N/A</v>
    <v t="s">N/A</v>
    <v>90</v>
    <v t="r">47</v>
    <v t="s">Purchase of fabric</v>
    <v t="s">Expense</v>
    <v t="s">COGS</v>
    <v>50</v>
    <v>3</v>
    <v>150</v>
    <v t="s">N/A</v>
    <v t="s">N/A</v>
    <v>112</v>
    <v t="r">41</v>
    <v t="s">Purchase of décor items</v>
    <v t="s">Expense</v>
    <v t="s">COGS</v>
    <v>50</v>
    <v>12</v>
    <v>600</v>
    <v t="s">N/A</v>
    <v t="s">N/A</v>
    <v>120</v>
    <v t="r">42</v>
    <v t="s">Purchase of décor items</v>
    <v t="s">Expense</v>
    <v t="s">COGS</v>
    <v>50</v>
    <v>10</v>
    <v>500</v>
    <v t="s">N/A</v>
    <v t="s">N/A</v>
    <v>122</v>
    <v t="r">42</v>
    <v t="s">Purchase of steps</v>
    <v t="s">Expense</v>
    <v t="s">COGS</v>
    <v>20</v>
    <v>5</v>
    <v>100</v>
    <v t="s">N/A</v>
    <v t="s">N/A</v>
    <v>144</v>
    <v t="r">12</v>
    <v t="s">Purchase-balloons</v>
    <v t="s">Expense</v>
    <v t="s">COGS</v>
    <v>1000</v>
    <v>1.5</v>
    <v>1500</v>
    <v t="s">N/A</v>
    <v t="s">N/A</v>
  </a>
  <a r="3">
    <v>21228</v>
    <v>16293</v>
    <v>4010</v>
  </a>
  <a r="12" c="11">
    <v t="s"/>
    <v t="s">Date</v>
    <v t="s">Item</v>
    <v t="s">Type</v>
    <v t="s">Subtype</v>
    <v t="s">Quantity</v>
    <v t="s">Per Unit Price</v>
    <v t="s">Total Price</v>
    <v t="s">Client Name</v>
    <v t="s">Client City</v>
    <v t="s">Payment Due Date</v>
    <v>0</v>
    <v t="r">0</v>
    <v t="s">Travel and Entertainment</v>
    <v t="s">Expense</v>
    <v t="s">Administrative</v>
    <v t="r">1</v>
    <v t="r">1</v>
    <v>139</v>
    <v t="s">N/A</v>
    <v t="s">N/A</v>
    <v t="r">55</v>
    <v>2</v>
    <v t="r">0</v>
    <v t="s">Travel and Entertainment</v>
    <v t="s">Expense</v>
    <v t="s">Administrative</v>
    <v t="r">1</v>
    <v t="r">1</v>
    <v>1050</v>
    <v t="s">N/A</v>
    <v t="s">N/A</v>
    <v t="r">55</v>
    <v>6</v>
    <v t="r">0</v>
    <v t="s">Salary Payment</v>
    <v t="s">Expense</v>
    <v t="s">Administrative</v>
    <v t="r">1</v>
    <v t="r">1</v>
    <v>638</v>
    <v t="s">N/A</v>
    <v t="s">N/A</v>
    <v t="r">55</v>
    <v>14</v>
    <v t="r">16</v>
    <v t="s">Travel and Entertainment</v>
    <v t="s">Expense</v>
    <v t="s">Administrative</v>
    <v t="r">1</v>
    <v t="r">1</v>
    <v>955</v>
    <v t="s">N/A</v>
    <v t="s">N/A</v>
    <v t="r">56</v>
    <v>16</v>
    <v t="r">16</v>
    <v t="s">Utility Bill- Electricity Office</v>
    <v t="s">Expense</v>
    <v t="s">Administrative</v>
    <v t="r">1</v>
    <v t="r">1</v>
    <v>375</v>
    <v t="s">N/A</v>
    <v t="s">N/A</v>
    <v t="r">56</v>
    <v t="s">...</v>
    <v t="s">...</v>
    <v t="s">...</v>
    <v t="s">...</v>
    <v t="s">...</v>
    <v t="s">...</v>
    <v t="s">...</v>
    <v t="s">...</v>
    <v t="s">...</v>
    <v t="s">...</v>
    <v t="s">...</v>
    <v>110</v>
    <v t="r">41</v>
    <v t="s">Utility Bill- Electricity Warehouse</v>
    <v t="s">Expense</v>
    <v t="s">Administrative</v>
    <v t="r">1</v>
    <v t="r">1</v>
    <v>824</v>
    <v t="s">N/A</v>
    <v t="s">N/A</v>
    <v t="r">12</v>
    <v>116</v>
    <v t="r">42</v>
    <v t="s">Utility Bill- Office</v>
    <v t="s">Expense</v>
    <v t="s">Administrative</v>
    <v t="r">1</v>
    <v t="r">1</v>
    <v>699</v>
    <v t="s">N/A</v>
    <v t="s">N/A</v>
    <v t="r">2</v>
    <v>119</v>
    <v t="r">42</v>
    <v t="s">Travel and Entertainment</v>
    <v t="s">Expense</v>
    <v t="s">Administrative</v>
    <v t="r">1</v>
    <v t="r">1</v>
    <v>1209</v>
    <v t="s">N/A</v>
    <v t="s">N/A</v>
    <v t="r">2</v>
    <v>125</v>
    <v t="r">37</v>
    <v t="s">Software Subscription</v>
    <v t="s">Expense</v>
    <v t="s">Administrative</v>
    <v t="r">1</v>
    <v t="r">1</v>
    <v>919</v>
    <v t="s">N/A</v>
    <v t="s">N/A</v>
    <v t="r">57</v>
    <v>128</v>
    <v t="r">37</v>
    <v t="s">Travel and Entertainment</v>
    <v t="s">Expense</v>
    <v t="s">Administrative</v>
    <v t="r">1</v>
    <v t="r">1</v>
    <v>535</v>
    <v t="s">N/A</v>
    <v t="s">N/A</v>
    <v t="r">57</v>
  </a>
  <a r="10" c="11">
    <v t="s"/>
    <v t="s">Date</v>
    <v t="s">Item</v>
    <v t="s">Type</v>
    <v t="s">Subtype</v>
    <v t="s">Quantity</v>
    <v t="s">Per Unit Price</v>
    <v t="s">Total Price</v>
    <v t="s">Client Name</v>
    <v t="s">Client City</v>
    <v t="s">Payment Due Date</v>
    <v>22</v>
    <v t="r">10</v>
    <v t="s">Purchase of fabric</v>
    <v t="s">Expense</v>
    <v t="s">COGS</v>
    <v>20</v>
    <v>5</v>
    <v>100</v>
    <v t="s">N/A</v>
    <v t="s">N/A</v>
    <v t="r">61</v>
    <v>28</v>
    <v t="r">11</v>
    <v t="s">Purchase of Cutlery</v>
    <v t="s">Expense</v>
    <v t="s">COGS</v>
    <v>100</v>
    <v>5</v>
    <v>500</v>
    <v t="s">N/A</v>
    <v t="s">N/A</v>
    <v t="r">62</v>
    <v>34</v>
    <v t="r">46</v>
    <v t="s">Purchase of Wood</v>
    <v t="s">Expense</v>
    <v t="s">COGS</v>
    <v>10</v>
    <v>8</v>
    <v>80</v>
    <v t="s">N/A</v>
    <v t="s">N/A</v>
    <v t="r">63</v>
    <v>87</v>
    <v t="r">47</v>
    <v t="s">Purchase of chairs</v>
    <v t="s">Expense</v>
    <v t="s">COGS</v>
    <v>40</v>
    <v>12</v>
    <v>480</v>
    <v t="s">N/A</v>
    <v t="s">N/A</v>
    <v t="r">18</v>
    <v>90</v>
    <v t="r">47</v>
    <v t="s">Purchase of fabric</v>
    <v t="s">Expense</v>
    <v t="s">COGS</v>
    <v>50</v>
    <v>3</v>
    <v>150</v>
    <v t="s">N/A</v>
    <v t="s">N/A</v>
    <v t="r">18</v>
    <v>112</v>
    <v t="r">41</v>
    <v t="s">Purchase of décor items</v>
    <v t="s">Expense</v>
    <v t="s">COGS</v>
    <v>50</v>
    <v>12</v>
    <v>600</v>
    <v t="s">N/A</v>
    <v t="s">N/A</v>
    <v t="r">64</v>
    <v>120</v>
    <v t="r">42</v>
    <v t="s">Purchase of décor items</v>
    <v t="s">Expense</v>
    <v t="s">COGS</v>
    <v>50</v>
    <v>10</v>
    <v>500</v>
    <v t="s">N/A</v>
    <v t="s">N/A</v>
    <v t="r">65</v>
    <v>122</v>
    <v t="r">42</v>
    <v t="s">Purchase of steps</v>
    <v t="s">Expense</v>
    <v t="s">COGS</v>
    <v>20</v>
    <v>5</v>
    <v>100</v>
    <v t="s">N/A</v>
    <v t="s">N/A</v>
    <v t="r">65</v>
    <v>144</v>
    <v t="r">12</v>
    <v t="s">Purchase-balloons</v>
    <v t="s">Expense</v>
    <v t="s">COGS</v>
    <v>1000</v>
    <v>1.5</v>
    <v>1500</v>
    <v t="s">N/A</v>
    <v t="s">N/A</v>
    <v t="r">27</v>
  </a>
  <a r="12" c="11">
    <v t="s"/>
    <v t="s">Date</v>
    <v t="s">Item</v>
    <v t="s">Type</v>
    <v t="s">Subtype</v>
    <v t="s">Quantity</v>
    <v t="s">Per Unit Price</v>
    <v t="s">Total Price</v>
    <v t="s">Client Name</v>
    <v t="s">Client City</v>
    <v t="s">Payment Due Date</v>
    <v>3</v>
    <v t="r">0</v>
    <v t="s">Vendor Payment - Flowers</v>
    <v t="s">Expense</v>
    <v t="s">Event cost</v>
    <v t="r">1</v>
    <v t="r">1</v>
    <v>338</v>
    <v t="s">AAA Party Rentals</v>
    <v t="s">N/A</v>
    <v t="r">63</v>
    <v>7</v>
    <v t="r">0</v>
    <v t="s">Transportation Cost</v>
    <v t="s">Expense</v>
    <v t="s">Event cost</v>
    <v t="r">1</v>
    <v t="r">1</v>
    <v>219</v>
    <v t="s">N/A</v>
    <v t="s">N/A</v>
    <v t="r">63</v>
    <v>10</v>
    <v t="r">9</v>
    <v t="s">Vendor Payment - Flowers</v>
    <v t="s">Expense</v>
    <v t="s">Event cost</v>
    <v t="r">1</v>
    <v t="r">1</v>
    <v>93</v>
    <v t="s">AAA Party Rentals</v>
    <v t="s">N/A</v>
    <v t="r">69</v>
    <v>15</v>
    <v t="r">16</v>
    <v t="s">Vendor Payment - Catering</v>
    <v t="s">Expense</v>
    <v t="s">Event cost</v>
    <v t="r">1</v>
    <v t="r">1</v>
    <v>402</v>
    <v t="s">Better Catering</v>
    <v t="s">N/A</v>
    <v t="r">47</v>
    <v>19</v>
    <v t="r">10</v>
    <v t="s">Vendor Payment - Catering</v>
    <v t="s">Expense</v>
    <v t="s">Event cost</v>
    <v t="r">1</v>
    <v t="r">1</v>
    <v>1136</v>
    <v t="s">N/A</v>
    <v t="s">N/A</v>
    <v t="r">70</v>
    <v t="s">...</v>
    <v t="s">...</v>
    <v t="s">...</v>
    <v t="s">...</v>
    <v t="s">...</v>
    <v t="s">...</v>
    <v t="s">...</v>
    <v t="s">...</v>
    <v t="s">...</v>
    <v t="s">...</v>
    <v t="s">...</v>
    <v>127</v>
    <v t="r">37</v>
    <v t="s">Transportation Cost</v>
    <v t="s">Expense</v>
    <v t="s">Event cost</v>
    <v t="r">1</v>
    <v t="r">1</v>
    <v>792</v>
    <v t="s">N/A</v>
    <v t="s">N/A</v>
    <v t="r">27</v>
    <v>132</v>
    <v t="r">17</v>
    <v t="s">Vendor Payment - Flowers</v>
    <v t="s">Expense</v>
    <v t="s">Event cost</v>
    <v t="r">1</v>
    <v t="r">1</v>
    <v>1483</v>
    <v t="s">All Flower Inc.</v>
    <v t="s">N/A</v>
    <v t="r">71</v>
    <v>140</v>
    <v t="r">12</v>
    <v t="s">Venue Rental</v>
    <v t="s">Expense</v>
    <v t="s">Event cost</v>
    <v t="r">1</v>
    <v t="r">1</v>
    <v>655</v>
    <v t="s">N/A</v>
    <v t="s">N/A</v>
    <v t="r">72</v>
    <v>147</v>
    <v t="r">2</v>
    <v t="s">Vendor Payment - Flowers</v>
    <v t="s">Expense</v>
    <v t="s">Event cost</v>
    <v t="r">1</v>
    <v t="r">1</v>
    <v>1328</v>
    <v t="s">AAA Party Rentals</v>
    <v t="s">N/A</v>
    <v t="r">73</v>
    <v>148</v>
    <v t="r">2</v>
    <v t="s">Vendor Payment - Catering</v>
    <v t="s">Expense</v>
    <v t="s">Event cost</v>
    <v t="r">1</v>
    <v t="r">1</v>
    <v>351</v>
    <v t="s">Better Catering</v>
    <v t="s">N/A</v>
    <v t="r">73</v>
  </a>
  <a r="3">
    <v>16293</v>
    <v>4010</v>
    <v>21228</v>
  </a>
  <a r="6" c="3">
    <v t="s"/>
    <v t="s">Category</v>
    <v t="s">Total Amount</v>
    <v>0</v>
    <v t="s">Income Advance</v>
    <v>20411.399999999998</v>
    <v>1</v>
    <v t="s">Income Due</v>
    <v>47626.599999999991</v>
    <v>2</v>
    <v t="s">Expense Admin (7 days)</v>
    <v>16293</v>
    <v>3</v>
    <v t="s">Expense COGS (10 days)</v>
    <v>4010</v>
    <v>4</v>
    <v t="s">Expense Event (15 days)</v>
    <v>21228</v>
  </a>
  <a r="2">
    <v>989</v>
    <v>590</v>
  </a>
  <a r="2">
    <v>789</v>
    <v>490</v>
  </a>
</arrayData>
</file>

<file path=xl/richData/rdrichvalue.xml><?xml version="1.0" encoding="utf-8"?>
<rvData xmlns="http://schemas.microsoft.com/office/spreadsheetml/2017/richdata" count="99">
  <rv s="0">
    <fb>45778</fb>
    <v>2</v>
  </rv>
  <rv s="0">
    <fb>0</fb>
    <v>3</v>
  </rv>
  <rv s="0">
    <fb>45807</fb>
    <v>2</v>
  </rv>
  <rv s="1">
    <v>0</v>
  </rv>
  <rv s="2">
    <v>DataFrame</v>
    <v>1</v>
    <v>3</v>
  </rv>
  <rv s="3">
    <v>&lt;class 'pandas.core.frame.DataFrame'&gt;</v>
    <v>DataFrame</v>
    <v xml:space="preserve">          Date                       Item     Type         Subtype  Quantity  \
0   2025-05-01   Travel and Entertainment  Expense  Administrative       NaN   
1   2025-05-01                   Birthday   Income         Service       NaN   
2   2025-05-...</v>
    <v>4</v>
    <v>4</v>
  </rv>
  <rv s="1">
    <v>1</v>
  </rv>
  <rv s="2">
    <v>tuple</v>
    <v>6</v>
    <v>6</v>
  </rv>
  <rv s="3">
    <v>&lt;class 'tuple'&gt;</v>
    <v>tuple</v>
    <v>(          Date               Item    Type  Subtype  Quantity  Per Unit Price  \
4   2025-05-01           Balloons  Income  Product      40.0             2.0   
11  2025-05-02             Chairs  Income  Product      20.0            10.0   
17  2025-05...</v>
    <v>7</v>
    <v>4</v>
  </rv>
  <rv s="0">
    <fb>45779</fb>
    <v>2</v>
  </rv>
  <rv s="0">
    <fb>45781</fb>
    <v>2</v>
  </rv>
  <rv s="0">
    <fb>45782</fb>
    <v>2</v>
  </rv>
  <rv s="0">
    <fb>45806</fb>
    <v>2</v>
  </rv>
  <rv s="1">
    <v>2</v>
  </rv>
  <rv s="2">
    <v>DataFrame</v>
    <v>8</v>
    <v>13</v>
  </rv>
  <rv s="3">
    <v>&lt;class 'pandas.core.frame.DataFrame'&gt;</v>
    <v>DataFrame</v>
    <v xml:space="preserve">          Date               Item    Type  Subtype  Quantity  Per Unit Price  \
4   2025-05-01           Balloons  Income  Product      40.0             2.0   
11  2025-05-02             Chairs  Income  Product      20.0            10.0   
17  2025-05-...</v>
    <v>14</v>
    <v>4</v>
  </rv>
  <rv s="0">
    <fb>45780</fb>
    <v>2</v>
  </rv>
  <rv s="0">
    <fb>45804</fb>
    <v>2</v>
  </rv>
  <rv s="0">
    <fb>45805</fb>
    <v>2</v>
  </rv>
  <rv s="1">
    <v>3</v>
  </rv>
  <rv s="2">
    <v>DataFrame</v>
    <v>10</v>
    <v>19</v>
  </rv>
  <rv s="3">
    <v>&lt;class 'pandas.core.frame.DataFrame'&gt;</v>
    <v>DataFrame</v>
    <v xml:space="preserve">          Date             Item    Type  Subtype  Quantity  Per Unit Price  \
1   2025-05-01         Birthday  Income  Service       NaN             NaN   
5   2025-05-01  Corporate Event  Income  Service       NaN             NaN   
8   2025-05-02    ...</v>
    <v>20</v>
    <v>4</v>
  </rv>
  <rv s="0">
    <fb>45788</fb>
    <v>2</v>
  </rv>
  <rv s="0">
    <fb>45789</fb>
    <v>2</v>
  </rv>
  <rv s="0">
    <fb>45790</fb>
    <v>2</v>
  </rv>
  <rv s="0">
    <fb>45814</fb>
    <v>2</v>
  </rv>
  <rv s="0">
    <fb>45815</fb>
    <v>2</v>
  </rv>
  <rv s="0">
    <fb>45816</fb>
    <v>2</v>
  </rv>
  <rv s="1">
    <v>4</v>
  </rv>
  <rv s="2">
    <v>DataFrame</v>
    <v>12</v>
    <v>28</v>
  </rv>
  <rv s="3">
    <v>&lt;class 'pandas.core.frame.DataFrame'&gt;</v>
    <v>DataFrame</v>
    <v xml:space="preserve">          Date             Item    Type  Subtype  Quantity  Per Unit Price  \
1   2025-05-01         Birthday  Income  Service       NaN             NaN   
5   2025-05-01  Corporate Event  Income  Service       NaN             NaN   
8   2025-05-02    ...</v>
    <v>29</v>
    <v>4</v>
  </rv>
  <rv s="1">
    <v>5</v>
  </rv>
  <rv s="2">
    <v>tuple</v>
    <v>6</v>
    <v>31</v>
  </rv>
  <rv s="3">
    <v>&lt;class 'tuple'&gt;</v>
    <v>tuple</v>
    <v>(20411.399999999998, 47626.59999999999)</v>
    <v>32</v>
    <v>4</v>
  </rv>
  <rv s="1">
    <v>6</v>
  </rv>
  <rv s="2">
    <v>tuple</v>
    <v>14</v>
    <v>34</v>
  </rv>
  <rv s="3">
    <v>&lt;class 'tuple'&gt;</v>
    <v>tuple</v>
    <v>(          Date                           Item     Type     Subtype  Quantity  \
3   2025-05-01       Vendor Payment - Flowers  Expense  Event cost       NaN   
7   2025-05-01            Transportation Cost  Expense  Event cost       NaN   
10  2025-05...</v>
    <v>35</v>
    <v>4</v>
  </rv>
  <rv s="0">
    <fb>45801</fb>
    <v>2</v>
  </rv>
  <rv s="1">
    <v>7</v>
  </rv>
  <rv s="2">
    <v>DataFrame</v>
    <v>16</v>
    <v>38</v>
  </rv>
  <rv s="3">
    <v>&lt;class 'pandas.core.frame.DataFrame'&gt;</v>
    <v>DataFrame</v>
    <v xml:space="preserve">          Date                           Item     Type     Subtype  Quantity  \
3   2025-05-01       Vendor Payment - Flowers  Expense  Event cost       NaN   
7   2025-05-01            Transportation Cost  Expense  Event cost       NaN   
10  2025-05-...</v>
    <v>39</v>
    <v>4</v>
  </rv>
  <rv s="0">
    <fb>45799</fb>
    <v>2</v>
  </rv>
  <rv s="0">
    <fb>45800</fb>
    <v>2</v>
  </rv>
  <rv s="1">
    <v>8</v>
  </rv>
  <rv s="2">
    <v>DataFrame</v>
    <v>18</v>
    <v>43</v>
  </rv>
  <rv s="3">
    <v>&lt;class 'pandas.core.frame.DataFrame'&gt;</v>
    <v>DataFrame</v>
    <v xml:space="preserve">          Date                                 Item     Type         Subtype  \
0   2025-05-01             Travel and Entertainment  Expense  Administrative   
2   2025-05-01             Travel and Entertainment  Expense  Administrative   
6   2025-05-...</v>
    <v>44</v>
    <v>4</v>
  </rv>
  <rv s="0">
    <fb>45783</fb>
    <v>2</v>
  </rv>
  <rv s="0">
    <fb>45795</fb>
    <v>2</v>
  </rv>
  <rv s="1">
    <v>9</v>
  </rv>
  <rv s="2">
    <v>DataFrame</v>
    <v>20</v>
    <v>48</v>
  </rv>
  <rv s="3">
    <v>&lt;class 'pandas.core.frame.DataFrame'&gt;</v>
    <v>DataFrame</v>
    <v xml:space="preserve">          Date                     Item     Type Subtype  Quantity  \
22  2025-05-04       Purchase of fabric  Expense    COGS      20.0   
28  2025-05-05      Purchase of Cutlery  Expense    COGS     100.0   
34  2025-05-06         Purchase of Wood  E...</v>
    <v>49</v>
    <v>4</v>
  </rv>
  <rv s="1">
    <v>10</v>
  </rv>
  <rv s="2">
    <v>tuple</v>
    <v>14</v>
    <v>51</v>
  </rv>
  <rv s="3">
    <v>&lt;class 'tuple'&gt;</v>
    <v>tuple</v>
    <v>(21228, 16293, 4010)</v>
    <v>52</v>
    <v>4</v>
  </rv>
  <rv s="3">
    <v>&lt;class 'tuple'&gt;</v>
    <v>tuple</v>
    <v>(          Date                                 Item     Type         Subtype  \
0   2025-05-01             Travel and Entertainment  Expense  Administrative   
2   2025-05-01             Travel and Entertainment  Expense  Administrative   
6   2025-05...</v>
    <v>35</v>
    <v>4</v>
  </rv>
  <rv s="0">
    <fb>45785</fb>
    <v>2</v>
  </rv>
  <rv s="0">
    <fb>45787</fb>
    <v>2</v>
  </rv>
  <rv s="0">
    <fb>45808</fb>
    <v>2</v>
  </rv>
  <rv s="1">
    <v>11</v>
  </rv>
  <rv s="2">
    <v>DataFrame</v>
    <v>22</v>
    <v>58</v>
  </rv>
  <rv s="3">
    <v>&lt;class 'pandas.core.frame.DataFrame'&gt;</v>
    <v>DataFrame</v>
    <v xml:space="preserve">          Date                                 Item     Type         Subtype  \
0   2025-05-01             Travel and Entertainment  Expense  Administrative   
2   2025-05-01             Travel and Entertainment  Expense  Administrative   
6   2025-05-...</v>
    <v>59</v>
    <v>4</v>
  </rv>
  <rv s="0">
    <fb>45791</fb>
    <v>2</v>
  </rv>
  <rv s="0">
    <fb>45792</fb>
    <v>2</v>
  </rv>
  <rv s="0">
    <fb>45793</fb>
    <v>2</v>
  </rv>
  <rv s="0">
    <fb>45809</fb>
    <v>2</v>
  </rv>
  <rv s="0">
    <fb>45810</fb>
    <v>2</v>
  </rv>
  <rv s="1">
    <v>12</v>
  </rv>
  <rv s="2">
    <v>DataFrame</v>
    <v>24</v>
    <v>66</v>
  </rv>
  <rv s="3">
    <v>&lt;class 'pandas.core.frame.DataFrame'&gt;</v>
    <v>DataFrame</v>
    <v xml:space="preserve">          Date                     Item     Type Subtype  Quantity  \
22  2025-05-04       Purchase of fabric  Expense    COGS      20.0   
28  2025-05-05      Purchase of Cutlery  Expense    COGS     100.0   
34  2025-05-06         Purchase of Wood  E...</v>
    <v>67</v>
    <v>4</v>
  </rv>
  <rv s="0">
    <fb>45794</fb>
    <v>2</v>
  </rv>
  <rv s="0">
    <fb>45796</fb>
    <v>2</v>
  </rv>
  <rv s="0">
    <fb>45819</fb>
    <v>2</v>
  </rv>
  <rv s="0">
    <fb>45821</fb>
    <v>2</v>
  </rv>
  <rv s="0">
    <fb>45822</fb>
    <v>2</v>
  </rv>
  <rv s="1">
    <v>13</v>
  </rv>
  <rv s="2">
    <v>DataFrame</v>
    <v>26</v>
    <v>74</v>
  </rv>
  <rv s="3">
    <v>&lt;class 'pandas.core.frame.DataFrame'&gt;</v>
    <v>DataFrame</v>
    <v xml:space="preserve">          Date                           Item     Type     Subtype  Quantity  \
3   2025-05-01       Vendor Payment - Flowers  Expense  Event cost       NaN   
7   2025-05-01            Transportation Cost  Expense  Event cost       NaN   
10  2025-05-...</v>
    <v>75</v>
    <v>4</v>
  </rv>
  <rv s="1">
    <v>14</v>
  </rv>
  <rv s="2">
    <v>tuple</v>
    <v>14</v>
    <v>77</v>
  </rv>
  <rv s="3">
    <v>&lt;class 'tuple'&gt;</v>
    <v>tuple</v>
    <v>(16293, 4010, 21228)</v>
    <v>78</v>
    <v>4</v>
  </rv>
  <rv s="1">
    <v>15</v>
  </rv>
  <rv s="2">
    <v>DataFrame</v>
    <v>28</v>
    <v>80</v>
  </rv>
  <rv s="3">
    <v>&lt;class 'pandas.core.frame.DataFrame'&gt;</v>
    <v>DataFrame</v>
    <v xml:space="preserve">                  Category  Total Amount
0           Income Advance       20411.4
1               Income Due       47626.6
2   Expense Admin (7 days)       16293.0
3   Expense COGS (10 days)        4010.0
4  Expense Event (15 days)       21228.0</v>
    <v>81</v>
    <v>4</v>
  </rv>
  <rv s="4">
    <v>0</v>
    <v>9</v>
  </rv>
  <rv s="1">
    <v>16</v>
  </rv>
  <rv s="5">
    <v>Image</v>
    <v>29</v>
    <v>83</v>
    <v>84</v>
  </rv>
  <rv s="3">
    <v>&lt;class 'PIL.PngImagePlugin.PngImageFile'&gt;</v>
    <v>PngImageFile</v>
    <v>&lt;PIL.PngImagePlugin.PngImageFile image mode=RGBA size=989x590 at 0x7F13B52866C0&gt;</v>
    <v>85</v>
    <v>4</v>
  </rv>
  <rv s="4">
    <v>1</v>
    <v>9</v>
  </rv>
  <rv s="1">
    <v>17</v>
  </rv>
  <rv s="5">
    <v>Image</v>
    <v>29</v>
    <v>87</v>
    <v>88</v>
  </rv>
  <rv s="3">
    <v>&lt;class 'PIL.PngImagePlugin.PngImageFile'&gt;</v>
    <v>PngImageFile</v>
    <v>&lt;PIL.PngImagePlugin.PngImageFile image mode=RGBA size=789x490 at 0x7F13B47CC0B0&gt;</v>
    <v>89</v>
    <v>4</v>
  </rv>
  <rv s="4">
    <v>2</v>
    <v>9</v>
  </rv>
  <rv s="5">
    <v>Image</v>
    <v>29</v>
    <v>91</v>
    <v>84</v>
  </rv>
  <rv s="3">
    <v>&lt;class 'PIL.PngImagePlugin.PngImageFile'&gt;</v>
    <v>PngImageFile</v>
    <v>&lt;PIL.PngImagePlugin.PngImageFile image mode=RGBA size=989x590 at 0x7F13B462D340&gt;</v>
    <v>92</v>
    <v>4</v>
  </rv>
  <rv s="0">
    <fb>45784</fb>
    <v>2</v>
  </rv>
  <rv s="0">
    <fb>45798</fb>
    <v>2</v>
  </rv>
  <rv s="0">
    <fb>45811</fb>
    <v>2</v>
  </rv>
  <rv s="0">
    <fb>45797</fb>
    <v>2</v>
  </rv>
  <rv s="0">
    <fb>45813</fb>
    <v>2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30">
    <spb s="0">
      <v>150</v>
      <v>9</v>
      <v>DataFrame</v>
      <v>arrayPreview</v>
      <v>1</v>
    </spb>
    <spb s="1">
      <v>0</v>
    </spb>
    <spb s="2">
      <v>1</v>
    </spb>
    <spb s="2">
      <v>2</v>
    </spb>
    <spb s="3">
      <v>https://www.anaconda.com/excel</v>
      <v>https://res.cdn.office.net/officepysvc/prod-service/anacondalogo.png</v>
      <v>Python provided by Anaconda</v>
    </spb>
    <spb s="4">
      <v>2</v>
      <v>1</v>
      <v>tuple</v>
      <v>arrayPreview</v>
    </spb>
    <spb s="1">
      <v>5</v>
    </spb>
    <spb s="0">
      <v>49</v>
      <v>9</v>
      <v>DataFrame</v>
      <v>arrayPreview</v>
      <v>1</v>
    </spb>
    <spb s="1">
      <v>7</v>
    </spb>
    <spb s="0">
      <v>41</v>
      <v>9</v>
      <v>DataFrame</v>
      <v>arrayPreview</v>
      <v>1</v>
    </spb>
    <spb s="1">
      <v>9</v>
    </spb>
    <spb s="0">
      <v>41</v>
      <v>12</v>
      <v>DataFrame</v>
      <v>arrayPreview</v>
      <v>1</v>
    </spb>
    <spb s="1">
      <v>11</v>
    </spb>
    <spb s="4">
      <v>3</v>
      <v>1</v>
      <v>tuple</v>
      <v>arrayPreview</v>
    </spb>
    <spb s="1">
      <v>13</v>
    </spb>
    <spb s="0">
      <v>31</v>
      <v>9</v>
      <v>DataFrame</v>
      <v>arrayPreview</v>
      <v>1</v>
    </spb>
    <spb s="1">
      <v>15</v>
    </spb>
    <spb s="0">
      <v>19</v>
      <v>9</v>
      <v>DataFrame</v>
      <v>arrayPreview</v>
      <v>1</v>
    </spb>
    <spb s="1">
      <v>17</v>
    </spb>
    <spb s="0">
      <v>9</v>
      <v>9</v>
      <v>DataFrame</v>
      <v>arrayPreview</v>
      <v>1</v>
    </spb>
    <spb s="1">
      <v>19</v>
    </spb>
    <spb s="0">
      <v>19</v>
      <v>10</v>
      <v>DataFrame</v>
      <v>arrayPreview</v>
      <v>1</v>
    </spb>
    <spb s="1">
      <v>21</v>
    </spb>
    <spb s="0">
      <v>9</v>
      <v>10</v>
      <v>DataFrame</v>
      <v>arrayPreview</v>
      <v>1</v>
    </spb>
    <spb s="1">
      <v>23</v>
    </spb>
    <spb s="0">
      <v>31</v>
      <v>10</v>
      <v>DataFrame</v>
      <v>arrayPreview</v>
      <v>1</v>
    </spb>
    <spb s="1">
      <v>25</v>
    </spb>
    <spb s="0">
      <v>5</v>
      <v>2</v>
      <v>DataFrame</v>
      <v>arrayPreview</v>
      <v>1</v>
    </spb>
    <spb s="1">
      <v>27</v>
    </spb>
    <spb s="5">
      <v>3</v>
    </spb>
  </spbData>
</supportingPropertyBags>
</file>

<file path=xl/richData/rdsupportingpropertybagstructure.xml><?xml version="1.0" encoding="utf-8"?>
<spbStructures xmlns="http://schemas.microsoft.com/office/spreadsheetml/2017/richdata2" count="6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drw" t="i"/>
    <k n="dcol" t="i"/>
    <k n="name" t="s"/>
    <k n="array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  <rPr n="IsHeroField" t="b"/>
  </richProperties>
  <richStyles>
    <rSty dxfid="0"/>
    <rSty dxfid="1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F88E-05CF-4EED-93C3-483C4BBF686B}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F2">
        <v>351</v>
      </c>
      <c r="G2" t="s">
        <v>11</v>
      </c>
      <c r="H2" t="s">
        <v>11</v>
      </c>
    </row>
    <row r="3" spans="1:8">
      <c r="A3" t="s">
        <v>12</v>
      </c>
      <c r="B3" t="s">
        <v>13</v>
      </c>
      <c r="C3" t="s">
        <v>14</v>
      </c>
      <c r="D3">
        <v>4</v>
      </c>
      <c r="E3">
        <v>93</v>
      </c>
      <c r="F3">
        <v>372</v>
      </c>
      <c r="G3" t="s">
        <v>15</v>
      </c>
      <c r="H3" t="s">
        <v>16</v>
      </c>
    </row>
    <row r="4" spans="1:8">
      <c r="A4" t="s">
        <v>17</v>
      </c>
      <c r="B4" t="s">
        <v>18</v>
      </c>
      <c r="C4" t="s">
        <v>10</v>
      </c>
      <c r="F4">
        <v>139</v>
      </c>
      <c r="G4" t="s">
        <v>11</v>
      </c>
      <c r="H4" t="s">
        <v>11</v>
      </c>
    </row>
    <row r="5" spans="1:8">
      <c r="A5" t="s">
        <v>19</v>
      </c>
      <c r="B5" t="s">
        <v>20</v>
      </c>
      <c r="C5" t="s">
        <v>21</v>
      </c>
      <c r="F5">
        <v>2700</v>
      </c>
      <c r="G5" t="s">
        <v>22</v>
      </c>
      <c r="H5" t="s">
        <v>23</v>
      </c>
    </row>
    <row r="6" spans="1:8">
      <c r="A6" t="s">
        <v>19</v>
      </c>
      <c r="B6" t="s">
        <v>18</v>
      </c>
      <c r="C6" t="s">
        <v>10</v>
      </c>
      <c r="F6">
        <v>1050</v>
      </c>
      <c r="G6" t="s">
        <v>11</v>
      </c>
      <c r="H6" t="s">
        <v>11</v>
      </c>
    </row>
    <row r="7" spans="1:8">
      <c r="A7" t="s">
        <v>24</v>
      </c>
      <c r="B7" t="s">
        <v>25</v>
      </c>
      <c r="C7" t="s">
        <v>10</v>
      </c>
      <c r="F7">
        <v>338</v>
      </c>
      <c r="G7" t="s">
        <v>11</v>
      </c>
      <c r="H7" t="s">
        <v>11</v>
      </c>
    </row>
    <row r="8" spans="1:8">
      <c r="A8" t="s">
        <v>26</v>
      </c>
      <c r="B8" t="s">
        <v>27</v>
      </c>
      <c r="C8" t="s">
        <v>14</v>
      </c>
      <c r="D8">
        <v>3</v>
      </c>
      <c r="E8">
        <v>25</v>
      </c>
      <c r="F8">
        <v>75</v>
      </c>
      <c r="G8" t="s">
        <v>22</v>
      </c>
      <c r="H8" t="s">
        <v>16</v>
      </c>
    </row>
    <row r="9" spans="1:8">
      <c r="A9" t="s">
        <v>28</v>
      </c>
      <c r="B9" t="s">
        <v>29</v>
      </c>
      <c r="C9" t="s">
        <v>21</v>
      </c>
      <c r="F9">
        <v>805</v>
      </c>
      <c r="G9" t="s">
        <v>30</v>
      </c>
      <c r="H9" t="s">
        <v>16</v>
      </c>
    </row>
    <row r="10" spans="1:8">
      <c r="A10" t="s">
        <v>31</v>
      </c>
      <c r="B10" t="s">
        <v>32</v>
      </c>
      <c r="C10" t="s">
        <v>10</v>
      </c>
      <c r="F10">
        <v>638</v>
      </c>
      <c r="G10" t="s">
        <v>11</v>
      </c>
      <c r="H10" t="s">
        <v>11</v>
      </c>
    </row>
    <row r="11" spans="1:8">
      <c r="A11" t="s">
        <v>33</v>
      </c>
      <c r="B11" t="s">
        <v>34</v>
      </c>
      <c r="C11" t="s">
        <v>10</v>
      </c>
      <c r="F11">
        <v>219</v>
      </c>
      <c r="G11" t="s">
        <v>11</v>
      </c>
      <c r="H11" t="s">
        <v>11</v>
      </c>
    </row>
    <row r="12" spans="1:8">
      <c r="A12" t="s">
        <v>35</v>
      </c>
      <c r="B12" t="s">
        <v>20</v>
      </c>
      <c r="C12" t="s">
        <v>21</v>
      </c>
      <c r="F12">
        <v>1416</v>
      </c>
      <c r="G12" t="s">
        <v>36</v>
      </c>
      <c r="H12" t="s">
        <v>37</v>
      </c>
    </row>
    <row r="13" spans="1:8">
      <c r="A13" t="s">
        <v>38</v>
      </c>
      <c r="B13" t="s">
        <v>20</v>
      </c>
      <c r="C13" t="s">
        <v>21</v>
      </c>
      <c r="F13">
        <v>2050</v>
      </c>
      <c r="G13" t="s">
        <v>39</v>
      </c>
      <c r="H13" t="s">
        <v>40</v>
      </c>
    </row>
    <row r="14" spans="1:8">
      <c r="A14" t="s">
        <v>41</v>
      </c>
      <c r="B14" t="s">
        <v>25</v>
      </c>
      <c r="C14" t="s">
        <v>10</v>
      </c>
      <c r="F14">
        <v>93</v>
      </c>
      <c r="G14" t="s">
        <v>11</v>
      </c>
      <c r="H14" t="s">
        <v>11</v>
      </c>
    </row>
    <row r="15" spans="1:8">
      <c r="A15" t="s">
        <v>42</v>
      </c>
      <c r="B15" t="s">
        <v>43</v>
      </c>
      <c r="C15" t="s">
        <v>14</v>
      </c>
      <c r="D15">
        <v>4</v>
      </c>
      <c r="E15">
        <v>17</v>
      </c>
      <c r="F15">
        <v>68</v>
      </c>
      <c r="G15" t="s">
        <v>15</v>
      </c>
      <c r="H15" t="s">
        <v>37</v>
      </c>
    </row>
    <row r="16" spans="1:8">
      <c r="A16" t="s">
        <v>35</v>
      </c>
      <c r="B16" t="s">
        <v>20</v>
      </c>
      <c r="C16" t="s">
        <v>21</v>
      </c>
      <c r="F16">
        <v>1166</v>
      </c>
      <c r="G16" t="s">
        <v>36</v>
      </c>
      <c r="H16" t="s">
        <v>37</v>
      </c>
    </row>
    <row r="17" spans="1:8">
      <c r="A17" t="s">
        <v>44</v>
      </c>
      <c r="B17" t="s">
        <v>20</v>
      </c>
      <c r="C17" t="s">
        <v>21</v>
      </c>
      <c r="F17">
        <v>2510</v>
      </c>
      <c r="G17" t="s">
        <v>30</v>
      </c>
      <c r="H17" t="s">
        <v>37</v>
      </c>
    </row>
    <row r="18" spans="1:8">
      <c r="A18" t="s">
        <v>45</v>
      </c>
      <c r="B18" t="s">
        <v>18</v>
      </c>
      <c r="C18" t="s">
        <v>10</v>
      </c>
      <c r="F18">
        <v>955</v>
      </c>
      <c r="G18" t="s">
        <v>11</v>
      </c>
      <c r="H18" t="s">
        <v>11</v>
      </c>
    </row>
    <row r="19" spans="1:8">
      <c r="A19" t="s">
        <v>46</v>
      </c>
      <c r="B19" t="s">
        <v>25</v>
      </c>
      <c r="C19" t="s">
        <v>10</v>
      </c>
      <c r="F19">
        <v>402</v>
      </c>
      <c r="G19" t="s">
        <v>11</v>
      </c>
      <c r="H19" t="s">
        <v>11</v>
      </c>
    </row>
    <row r="20" spans="1:8">
      <c r="A20" t="s">
        <v>47</v>
      </c>
      <c r="B20" t="s">
        <v>48</v>
      </c>
      <c r="C20" t="s">
        <v>10</v>
      </c>
      <c r="F20">
        <v>375</v>
      </c>
      <c r="G20" t="s">
        <v>11</v>
      </c>
      <c r="H20" t="s">
        <v>11</v>
      </c>
    </row>
    <row r="21" spans="1:8">
      <c r="A21" t="s">
        <v>47</v>
      </c>
      <c r="B21" t="s">
        <v>49</v>
      </c>
      <c r="C21" t="s">
        <v>14</v>
      </c>
      <c r="D21">
        <v>4</v>
      </c>
      <c r="E21">
        <v>89</v>
      </c>
      <c r="F21">
        <v>356</v>
      </c>
      <c r="G21" t="s">
        <v>39</v>
      </c>
      <c r="H21" t="s">
        <v>16</v>
      </c>
    </row>
    <row r="22" spans="1:8">
      <c r="A22" t="s">
        <v>50</v>
      </c>
      <c r="B22" t="s">
        <v>18</v>
      </c>
      <c r="C22" t="s">
        <v>10</v>
      </c>
      <c r="F22">
        <v>1341</v>
      </c>
      <c r="G22" t="s">
        <v>11</v>
      </c>
      <c r="H22" t="s">
        <v>11</v>
      </c>
    </row>
    <row r="23" spans="1:8">
      <c r="A23" t="s">
        <v>51</v>
      </c>
      <c r="B23" t="s">
        <v>52</v>
      </c>
      <c r="C23" t="s">
        <v>10</v>
      </c>
      <c r="F23">
        <v>1136</v>
      </c>
      <c r="G23" t="s">
        <v>11</v>
      </c>
      <c r="H23" t="s">
        <v>11</v>
      </c>
    </row>
    <row r="24" spans="1:8">
      <c r="A24" t="s">
        <v>53</v>
      </c>
      <c r="B24" t="s">
        <v>27</v>
      </c>
      <c r="C24" t="s">
        <v>14</v>
      </c>
      <c r="D24">
        <v>8</v>
      </c>
      <c r="E24">
        <v>23</v>
      </c>
      <c r="F24">
        <v>184</v>
      </c>
      <c r="G24" t="s">
        <v>15</v>
      </c>
      <c r="H24" t="s">
        <v>16</v>
      </c>
    </row>
    <row r="25" spans="1:8">
      <c r="A25" t="s">
        <v>54</v>
      </c>
      <c r="B25" t="s">
        <v>52</v>
      </c>
      <c r="C25" t="s">
        <v>10</v>
      </c>
      <c r="F25">
        <v>1157</v>
      </c>
      <c r="G25" t="s">
        <v>11</v>
      </c>
      <c r="H25" t="s">
        <v>11</v>
      </c>
    </row>
    <row r="26" spans="1:8">
      <c r="A26" t="s">
        <v>8</v>
      </c>
      <c r="B26" t="s">
        <v>18</v>
      </c>
      <c r="C26" t="s">
        <v>10</v>
      </c>
      <c r="F26">
        <v>1080</v>
      </c>
      <c r="G26" t="s">
        <v>11</v>
      </c>
      <c r="H26" t="s">
        <v>11</v>
      </c>
    </row>
    <row r="27" spans="1:8">
      <c r="A27" t="s">
        <v>55</v>
      </c>
      <c r="B27" t="s">
        <v>56</v>
      </c>
      <c r="C27" t="s">
        <v>21</v>
      </c>
      <c r="F27">
        <v>2880</v>
      </c>
      <c r="G27" t="s">
        <v>57</v>
      </c>
      <c r="H27" t="s">
        <v>16</v>
      </c>
    </row>
    <row r="28" spans="1:8">
      <c r="A28" t="s">
        <v>58</v>
      </c>
      <c r="B28" t="s">
        <v>59</v>
      </c>
      <c r="C28" t="s">
        <v>14</v>
      </c>
      <c r="D28">
        <v>4</v>
      </c>
      <c r="E28">
        <v>60</v>
      </c>
      <c r="F28">
        <v>240</v>
      </c>
      <c r="G28" t="s">
        <v>60</v>
      </c>
      <c r="H28" t="s">
        <v>16</v>
      </c>
    </row>
    <row r="29" spans="1:8">
      <c r="A29" t="s">
        <v>61</v>
      </c>
      <c r="B29" t="s">
        <v>13</v>
      </c>
      <c r="C29" t="s">
        <v>14</v>
      </c>
      <c r="D29">
        <v>8</v>
      </c>
      <c r="E29">
        <v>44</v>
      </c>
      <c r="F29">
        <v>352</v>
      </c>
      <c r="G29" t="s">
        <v>39</v>
      </c>
      <c r="H29" t="s">
        <v>37</v>
      </c>
    </row>
    <row r="30" spans="1:8">
      <c r="A30" t="s">
        <v>62</v>
      </c>
      <c r="B30" t="s">
        <v>9</v>
      </c>
      <c r="C30" t="s">
        <v>10</v>
      </c>
      <c r="F30">
        <v>201</v>
      </c>
      <c r="G30" t="s">
        <v>11</v>
      </c>
      <c r="H30" t="s">
        <v>11</v>
      </c>
    </row>
    <row r="31" spans="1:8">
      <c r="A31" t="s">
        <v>63</v>
      </c>
      <c r="B31" t="s">
        <v>25</v>
      </c>
      <c r="C31" t="s">
        <v>10</v>
      </c>
      <c r="F31">
        <v>1215</v>
      </c>
      <c r="G31" t="s">
        <v>11</v>
      </c>
      <c r="H31" t="s">
        <v>11</v>
      </c>
    </row>
    <row r="32" spans="1:8">
      <c r="A32" t="s">
        <v>45</v>
      </c>
      <c r="B32" t="s">
        <v>32</v>
      </c>
      <c r="C32" t="s">
        <v>10</v>
      </c>
      <c r="F32">
        <v>1349</v>
      </c>
      <c r="G32" t="s">
        <v>11</v>
      </c>
      <c r="H32" t="s">
        <v>11</v>
      </c>
    </row>
    <row r="33" spans="1:8">
      <c r="A33" t="s">
        <v>64</v>
      </c>
      <c r="B33" t="s">
        <v>34</v>
      </c>
      <c r="C33" t="s">
        <v>10</v>
      </c>
      <c r="F33">
        <v>602</v>
      </c>
      <c r="G33" t="s">
        <v>11</v>
      </c>
      <c r="H33" t="s">
        <v>11</v>
      </c>
    </row>
    <row r="34" spans="1:8">
      <c r="A34" t="s">
        <v>65</v>
      </c>
      <c r="B34" t="s">
        <v>66</v>
      </c>
      <c r="C34" t="s">
        <v>14</v>
      </c>
      <c r="D34">
        <v>10</v>
      </c>
      <c r="E34">
        <v>55</v>
      </c>
      <c r="F34">
        <v>550</v>
      </c>
      <c r="G34" t="s">
        <v>39</v>
      </c>
      <c r="H34" t="s">
        <v>40</v>
      </c>
    </row>
    <row r="35" spans="1:8">
      <c r="A35" t="s">
        <v>67</v>
      </c>
      <c r="B35" t="s">
        <v>56</v>
      </c>
      <c r="C35" t="s">
        <v>21</v>
      </c>
      <c r="F35">
        <v>2191</v>
      </c>
      <c r="G35" t="s">
        <v>60</v>
      </c>
      <c r="H35" t="s">
        <v>68</v>
      </c>
    </row>
    <row r="36" spans="1:8">
      <c r="A36" t="s">
        <v>69</v>
      </c>
      <c r="B36" t="s">
        <v>49</v>
      </c>
      <c r="C36" t="s">
        <v>14</v>
      </c>
      <c r="D36">
        <v>4</v>
      </c>
      <c r="E36">
        <v>82</v>
      </c>
      <c r="F36">
        <v>328</v>
      </c>
      <c r="G36" t="s">
        <v>30</v>
      </c>
      <c r="H36" t="s">
        <v>23</v>
      </c>
    </row>
    <row r="37" spans="1:8">
      <c r="A37" t="s">
        <v>41</v>
      </c>
      <c r="B37" t="s">
        <v>66</v>
      </c>
      <c r="C37" t="s">
        <v>14</v>
      </c>
      <c r="D37">
        <v>6</v>
      </c>
      <c r="E37">
        <v>83</v>
      </c>
      <c r="F37">
        <v>498</v>
      </c>
      <c r="G37" t="s">
        <v>57</v>
      </c>
      <c r="H37" t="s">
        <v>23</v>
      </c>
    </row>
    <row r="38" spans="1:8">
      <c r="A38" t="s">
        <v>70</v>
      </c>
      <c r="B38" t="s">
        <v>18</v>
      </c>
      <c r="C38" t="s">
        <v>10</v>
      </c>
      <c r="F38">
        <v>1151</v>
      </c>
      <c r="G38" t="s">
        <v>11</v>
      </c>
      <c r="H38" t="s">
        <v>11</v>
      </c>
    </row>
    <row r="39" spans="1:8">
      <c r="A39" t="s">
        <v>71</v>
      </c>
      <c r="B39" t="s">
        <v>72</v>
      </c>
      <c r="C39" t="s">
        <v>10</v>
      </c>
      <c r="F39">
        <v>917</v>
      </c>
      <c r="G39" t="s">
        <v>11</v>
      </c>
      <c r="H39" t="s">
        <v>11</v>
      </c>
    </row>
    <row r="40" spans="1:8">
      <c r="A40" t="s">
        <v>73</v>
      </c>
      <c r="B40" t="s">
        <v>74</v>
      </c>
      <c r="C40" t="s">
        <v>21</v>
      </c>
      <c r="F40">
        <v>934</v>
      </c>
      <c r="G40" t="s">
        <v>60</v>
      </c>
      <c r="H40" t="s">
        <v>40</v>
      </c>
    </row>
    <row r="41" spans="1:8">
      <c r="A41" t="s">
        <v>75</v>
      </c>
      <c r="B41" t="s">
        <v>29</v>
      </c>
      <c r="C41" t="s">
        <v>21</v>
      </c>
      <c r="F41">
        <v>1456</v>
      </c>
      <c r="G41" t="s">
        <v>22</v>
      </c>
      <c r="H41" t="s">
        <v>40</v>
      </c>
    </row>
    <row r="42" spans="1:8">
      <c r="A42" t="s">
        <v>35</v>
      </c>
      <c r="B42" t="s">
        <v>9</v>
      </c>
      <c r="C42" t="s">
        <v>10</v>
      </c>
      <c r="F42">
        <v>106</v>
      </c>
      <c r="G42" t="s">
        <v>11</v>
      </c>
      <c r="H42" t="s">
        <v>11</v>
      </c>
    </row>
    <row r="43" spans="1:8">
      <c r="A43" t="s">
        <v>73</v>
      </c>
      <c r="B43" t="s">
        <v>18</v>
      </c>
      <c r="C43" t="s">
        <v>10</v>
      </c>
      <c r="F43">
        <v>1018</v>
      </c>
      <c r="G43" t="s">
        <v>11</v>
      </c>
      <c r="H43" t="s">
        <v>11</v>
      </c>
    </row>
    <row r="44" spans="1:8">
      <c r="A44" t="s">
        <v>76</v>
      </c>
      <c r="B44" t="s">
        <v>13</v>
      </c>
      <c r="C44" t="s">
        <v>14</v>
      </c>
      <c r="D44">
        <v>8</v>
      </c>
      <c r="E44">
        <v>64</v>
      </c>
      <c r="F44">
        <v>512</v>
      </c>
      <c r="G44" t="s">
        <v>39</v>
      </c>
      <c r="H44" t="s">
        <v>16</v>
      </c>
    </row>
    <row r="45" spans="1:8">
      <c r="A45" t="s">
        <v>77</v>
      </c>
      <c r="B45" t="s">
        <v>13</v>
      </c>
      <c r="C45" t="s">
        <v>14</v>
      </c>
      <c r="D45">
        <v>10</v>
      </c>
      <c r="E45">
        <v>68</v>
      </c>
      <c r="F45">
        <v>680</v>
      </c>
      <c r="G45" t="s">
        <v>22</v>
      </c>
      <c r="H45" t="s">
        <v>23</v>
      </c>
    </row>
    <row r="46" spans="1:8">
      <c r="A46" t="s">
        <v>78</v>
      </c>
      <c r="B46" t="s">
        <v>79</v>
      </c>
      <c r="C46" t="s">
        <v>21</v>
      </c>
      <c r="F46">
        <v>2735</v>
      </c>
      <c r="G46" t="s">
        <v>39</v>
      </c>
      <c r="H46" t="s">
        <v>16</v>
      </c>
    </row>
    <row r="47" spans="1:8">
      <c r="A47" t="s">
        <v>70</v>
      </c>
      <c r="B47" t="s">
        <v>13</v>
      </c>
      <c r="C47" t="s">
        <v>14</v>
      </c>
      <c r="D47">
        <v>4</v>
      </c>
      <c r="E47">
        <v>82</v>
      </c>
      <c r="F47">
        <v>328</v>
      </c>
      <c r="G47" t="s">
        <v>36</v>
      </c>
      <c r="H47" t="s">
        <v>37</v>
      </c>
    </row>
    <row r="48" spans="1:8">
      <c r="A48" t="s">
        <v>80</v>
      </c>
      <c r="B48" t="s">
        <v>66</v>
      </c>
      <c r="C48" t="s">
        <v>14</v>
      </c>
      <c r="D48">
        <v>4</v>
      </c>
      <c r="E48">
        <v>28</v>
      </c>
      <c r="F48">
        <v>112</v>
      </c>
      <c r="G48" t="s">
        <v>57</v>
      </c>
      <c r="H48" t="s">
        <v>16</v>
      </c>
    </row>
    <row r="49" spans="1:8">
      <c r="A49" t="s">
        <v>81</v>
      </c>
      <c r="B49" t="s">
        <v>52</v>
      </c>
      <c r="C49" t="s">
        <v>10</v>
      </c>
      <c r="F49">
        <v>1015</v>
      </c>
      <c r="G49" t="s">
        <v>11</v>
      </c>
      <c r="H49" t="s">
        <v>11</v>
      </c>
    </row>
    <row r="50" spans="1:8">
      <c r="A50" t="s">
        <v>82</v>
      </c>
      <c r="B50" t="s">
        <v>66</v>
      </c>
      <c r="C50" t="s">
        <v>14</v>
      </c>
      <c r="D50">
        <v>4</v>
      </c>
      <c r="E50">
        <v>36</v>
      </c>
      <c r="F50">
        <v>144</v>
      </c>
      <c r="G50" t="s">
        <v>30</v>
      </c>
      <c r="H50" t="s">
        <v>40</v>
      </c>
    </row>
    <row r="51" spans="1:8">
      <c r="A51" t="s">
        <v>83</v>
      </c>
      <c r="B51" t="s">
        <v>79</v>
      </c>
      <c r="C51" t="s">
        <v>21</v>
      </c>
      <c r="F51">
        <v>2895</v>
      </c>
      <c r="G51" t="s">
        <v>57</v>
      </c>
      <c r="H51" t="s">
        <v>68</v>
      </c>
    </row>
    <row r="52" spans="1:8">
      <c r="A52" t="s">
        <v>84</v>
      </c>
      <c r="B52" t="s">
        <v>9</v>
      </c>
      <c r="C52" t="s">
        <v>10</v>
      </c>
      <c r="F52">
        <v>776</v>
      </c>
      <c r="G52" t="s">
        <v>11</v>
      </c>
      <c r="H52" t="s">
        <v>11</v>
      </c>
    </row>
    <row r="53" spans="1:8">
      <c r="A53" t="s">
        <v>85</v>
      </c>
      <c r="B53" t="s">
        <v>86</v>
      </c>
      <c r="C53" t="s">
        <v>14</v>
      </c>
      <c r="D53">
        <v>7</v>
      </c>
      <c r="E53">
        <v>86</v>
      </c>
      <c r="F53">
        <v>602</v>
      </c>
      <c r="G53" t="s">
        <v>15</v>
      </c>
      <c r="H53" t="s">
        <v>37</v>
      </c>
    </row>
    <row r="54" spans="1:8">
      <c r="A54" t="s">
        <v>87</v>
      </c>
      <c r="B54" t="s">
        <v>27</v>
      </c>
      <c r="C54" t="s">
        <v>14</v>
      </c>
      <c r="D54">
        <v>7</v>
      </c>
      <c r="E54">
        <v>94</v>
      </c>
      <c r="F54">
        <v>658</v>
      </c>
      <c r="G54" t="s">
        <v>36</v>
      </c>
      <c r="H54" t="s">
        <v>68</v>
      </c>
    </row>
    <row r="55" spans="1:8">
      <c r="A55" t="s">
        <v>88</v>
      </c>
      <c r="B55" t="s">
        <v>86</v>
      </c>
      <c r="C55" t="s">
        <v>14</v>
      </c>
      <c r="D55">
        <v>2</v>
      </c>
      <c r="E55">
        <v>98</v>
      </c>
      <c r="F55">
        <v>196</v>
      </c>
      <c r="G55" t="s">
        <v>22</v>
      </c>
      <c r="H55" t="s">
        <v>16</v>
      </c>
    </row>
    <row r="56" spans="1:8">
      <c r="A56" t="s">
        <v>89</v>
      </c>
      <c r="B56" t="s">
        <v>29</v>
      </c>
      <c r="C56" t="s">
        <v>21</v>
      </c>
      <c r="F56">
        <v>856</v>
      </c>
      <c r="G56" t="s">
        <v>22</v>
      </c>
      <c r="H56" t="s">
        <v>23</v>
      </c>
    </row>
    <row r="57" spans="1:8">
      <c r="A57" t="s">
        <v>90</v>
      </c>
      <c r="B57" t="s">
        <v>34</v>
      </c>
      <c r="C57" t="s">
        <v>10</v>
      </c>
      <c r="F57">
        <v>1486</v>
      </c>
      <c r="G57" t="s">
        <v>11</v>
      </c>
      <c r="H57" t="s">
        <v>11</v>
      </c>
    </row>
    <row r="58" spans="1:8">
      <c r="A58" t="s">
        <v>53</v>
      </c>
      <c r="B58" t="s">
        <v>18</v>
      </c>
      <c r="C58" t="s">
        <v>10</v>
      </c>
      <c r="F58">
        <v>1127</v>
      </c>
      <c r="G58" t="s">
        <v>11</v>
      </c>
      <c r="H58" t="s">
        <v>11</v>
      </c>
    </row>
    <row r="59" spans="1:8">
      <c r="A59" t="s">
        <v>42</v>
      </c>
      <c r="B59" t="s">
        <v>34</v>
      </c>
      <c r="C59" t="s">
        <v>10</v>
      </c>
      <c r="F59">
        <v>140</v>
      </c>
      <c r="G59" t="s">
        <v>11</v>
      </c>
      <c r="H59" t="s">
        <v>11</v>
      </c>
    </row>
    <row r="60" spans="1:8">
      <c r="A60" t="s">
        <v>89</v>
      </c>
      <c r="B60" t="s">
        <v>59</v>
      </c>
      <c r="C60" t="s">
        <v>14</v>
      </c>
      <c r="D60">
        <v>2</v>
      </c>
      <c r="E60">
        <v>97</v>
      </c>
      <c r="F60">
        <v>194</v>
      </c>
      <c r="G60" t="s">
        <v>39</v>
      </c>
      <c r="H60" t="s">
        <v>40</v>
      </c>
    </row>
    <row r="61" spans="1:8">
      <c r="A61" t="s">
        <v>91</v>
      </c>
      <c r="B61" t="s">
        <v>18</v>
      </c>
      <c r="C61" t="s">
        <v>10</v>
      </c>
      <c r="F61">
        <v>412</v>
      </c>
      <c r="G61" t="s">
        <v>11</v>
      </c>
      <c r="H61" t="s">
        <v>11</v>
      </c>
    </row>
    <row r="62" spans="1:8">
      <c r="A62" t="s">
        <v>51</v>
      </c>
      <c r="B62" t="s">
        <v>79</v>
      </c>
      <c r="C62" t="s">
        <v>21</v>
      </c>
      <c r="F62">
        <v>1007</v>
      </c>
      <c r="G62" t="s">
        <v>15</v>
      </c>
      <c r="H62" t="s">
        <v>23</v>
      </c>
    </row>
    <row r="63" spans="1:8">
      <c r="A63" t="s">
        <v>50</v>
      </c>
      <c r="B63" t="s">
        <v>34</v>
      </c>
      <c r="C63" t="s">
        <v>10</v>
      </c>
      <c r="F63">
        <v>61</v>
      </c>
      <c r="G63" t="s">
        <v>11</v>
      </c>
      <c r="H63" t="s">
        <v>11</v>
      </c>
    </row>
    <row r="64" spans="1:8">
      <c r="A64" t="s">
        <v>76</v>
      </c>
      <c r="B64" t="s">
        <v>20</v>
      </c>
      <c r="C64" t="s">
        <v>21</v>
      </c>
      <c r="F64">
        <v>1009</v>
      </c>
      <c r="G64" t="s">
        <v>15</v>
      </c>
      <c r="H64" t="s">
        <v>68</v>
      </c>
    </row>
    <row r="65" spans="1:8">
      <c r="A65" t="s">
        <v>46</v>
      </c>
      <c r="B65" t="s">
        <v>48</v>
      </c>
      <c r="C65" t="s">
        <v>10</v>
      </c>
      <c r="F65">
        <v>824</v>
      </c>
      <c r="G65" t="s">
        <v>11</v>
      </c>
      <c r="H65" t="s">
        <v>11</v>
      </c>
    </row>
    <row r="66" spans="1:8">
      <c r="A66" t="s">
        <v>61</v>
      </c>
      <c r="B66" t="s">
        <v>25</v>
      </c>
      <c r="C66" t="s">
        <v>10</v>
      </c>
      <c r="F66">
        <v>167</v>
      </c>
      <c r="G66" t="s">
        <v>11</v>
      </c>
      <c r="H66" t="s">
        <v>11</v>
      </c>
    </row>
    <row r="67" spans="1:8">
      <c r="A67" t="s">
        <v>71</v>
      </c>
      <c r="B67" t="s">
        <v>32</v>
      </c>
      <c r="C67" t="s">
        <v>10</v>
      </c>
      <c r="F67">
        <v>226</v>
      </c>
      <c r="G67" t="s">
        <v>11</v>
      </c>
      <c r="H67" t="s">
        <v>11</v>
      </c>
    </row>
    <row r="68" spans="1:8">
      <c r="A68" t="s">
        <v>51</v>
      </c>
      <c r="B68" t="s">
        <v>13</v>
      </c>
      <c r="C68" t="s">
        <v>14</v>
      </c>
      <c r="D68">
        <v>8</v>
      </c>
      <c r="E68">
        <v>72</v>
      </c>
      <c r="F68">
        <v>576</v>
      </c>
      <c r="G68" t="s">
        <v>30</v>
      </c>
      <c r="H68" t="s">
        <v>40</v>
      </c>
    </row>
    <row r="69" spans="1:8">
      <c r="A69" t="s">
        <v>28</v>
      </c>
      <c r="B69" t="s">
        <v>59</v>
      </c>
      <c r="C69" t="s">
        <v>14</v>
      </c>
      <c r="D69">
        <v>10</v>
      </c>
      <c r="E69">
        <v>39</v>
      </c>
      <c r="F69">
        <v>390</v>
      </c>
      <c r="G69" t="s">
        <v>36</v>
      </c>
      <c r="H69" t="s">
        <v>23</v>
      </c>
    </row>
    <row r="70" spans="1:8">
      <c r="A70" t="s">
        <v>42</v>
      </c>
      <c r="B70" t="s">
        <v>56</v>
      </c>
      <c r="C70" t="s">
        <v>21</v>
      </c>
      <c r="F70">
        <v>577</v>
      </c>
      <c r="G70" t="s">
        <v>15</v>
      </c>
      <c r="H70" t="s">
        <v>40</v>
      </c>
    </row>
    <row r="71" spans="1:8">
      <c r="A71" t="s">
        <v>92</v>
      </c>
      <c r="B71" t="s">
        <v>48</v>
      </c>
      <c r="C71" t="s">
        <v>10</v>
      </c>
      <c r="F71">
        <v>699</v>
      </c>
      <c r="G71" t="s">
        <v>11</v>
      </c>
      <c r="H71" t="s">
        <v>11</v>
      </c>
    </row>
    <row r="72" spans="1:8">
      <c r="A72" t="s">
        <v>80</v>
      </c>
      <c r="B72" t="s">
        <v>66</v>
      </c>
      <c r="C72" t="s">
        <v>14</v>
      </c>
      <c r="D72">
        <v>9</v>
      </c>
      <c r="E72">
        <v>32</v>
      </c>
      <c r="F72">
        <v>288</v>
      </c>
      <c r="G72" t="s">
        <v>15</v>
      </c>
      <c r="H72" t="s">
        <v>40</v>
      </c>
    </row>
    <row r="73" spans="1:8">
      <c r="A73" t="s">
        <v>44</v>
      </c>
      <c r="B73" t="s">
        <v>29</v>
      </c>
      <c r="C73" t="s">
        <v>21</v>
      </c>
      <c r="F73">
        <v>2138</v>
      </c>
      <c r="G73" t="s">
        <v>15</v>
      </c>
      <c r="H73" t="s">
        <v>37</v>
      </c>
    </row>
    <row r="74" spans="1:8">
      <c r="A74" t="s">
        <v>35</v>
      </c>
      <c r="B74" t="s">
        <v>18</v>
      </c>
      <c r="C74" t="s">
        <v>10</v>
      </c>
      <c r="F74">
        <v>1209</v>
      </c>
      <c r="G74" t="s">
        <v>11</v>
      </c>
      <c r="H74" t="s">
        <v>11</v>
      </c>
    </row>
    <row r="75" spans="1:8">
      <c r="A75" t="s">
        <v>62</v>
      </c>
      <c r="B75" t="s">
        <v>32</v>
      </c>
      <c r="C75" t="s">
        <v>10</v>
      </c>
      <c r="F75">
        <v>393</v>
      </c>
      <c r="G75" t="s">
        <v>11</v>
      </c>
      <c r="H75" t="s">
        <v>11</v>
      </c>
    </row>
    <row r="76" spans="1:8">
      <c r="A76" t="s">
        <v>65</v>
      </c>
      <c r="B76" t="s">
        <v>18</v>
      </c>
      <c r="C76" t="s">
        <v>10</v>
      </c>
      <c r="F76">
        <v>883</v>
      </c>
      <c r="G76" t="s">
        <v>11</v>
      </c>
      <c r="H76" t="s">
        <v>11</v>
      </c>
    </row>
    <row r="77" spans="1:8">
      <c r="A77" t="s">
        <v>61</v>
      </c>
      <c r="B77" t="s">
        <v>29</v>
      </c>
      <c r="C77" t="s">
        <v>21</v>
      </c>
      <c r="F77">
        <v>2298</v>
      </c>
      <c r="G77" t="s">
        <v>57</v>
      </c>
      <c r="H77" t="s">
        <v>37</v>
      </c>
    </row>
    <row r="78" spans="1:8">
      <c r="A78" t="s">
        <v>93</v>
      </c>
      <c r="B78" t="s">
        <v>48</v>
      </c>
      <c r="C78" t="s">
        <v>10</v>
      </c>
      <c r="F78">
        <v>747</v>
      </c>
      <c r="G78" t="s">
        <v>11</v>
      </c>
      <c r="H78" t="s">
        <v>11</v>
      </c>
    </row>
    <row r="79" spans="1:8">
      <c r="A79" t="s">
        <v>12</v>
      </c>
      <c r="B79" t="s">
        <v>74</v>
      </c>
      <c r="C79" t="s">
        <v>21</v>
      </c>
      <c r="F79">
        <v>662</v>
      </c>
      <c r="G79" t="s">
        <v>39</v>
      </c>
      <c r="H79" t="s">
        <v>68</v>
      </c>
    </row>
    <row r="80" spans="1:8">
      <c r="A80" t="s">
        <v>94</v>
      </c>
      <c r="B80" t="s">
        <v>20</v>
      </c>
      <c r="C80" t="s">
        <v>21</v>
      </c>
      <c r="F80">
        <v>1662</v>
      </c>
      <c r="G80" t="s">
        <v>22</v>
      </c>
      <c r="H80" t="s">
        <v>16</v>
      </c>
    </row>
    <row r="81" spans="1:8">
      <c r="A81" t="s">
        <v>95</v>
      </c>
      <c r="B81" t="s">
        <v>18</v>
      </c>
      <c r="C81" t="s">
        <v>10</v>
      </c>
      <c r="F81">
        <v>1411</v>
      </c>
      <c r="G81" t="s">
        <v>11</v>
      </c>
      <c r="H81" t="s">
        <v>11</v>
      </c>
    </row>
    <row r="82" spans="1:8">
      <c r="A82" t="s">
        <v>96</v>
      </c>
      <c r="B82" t="s">
        <v>9</v>
      </c>
      <c r="C82" t="s">
        <v>10</v>
      </c>
      <c r="F82">
        <v>763</v>
      </c>
      <c r="G82" t="s">
        <v>11</v>
      </c>
      <c r="H82" t="s">
        <v>11</v>
      </c>
    </row>
    <row r="83" spans="1:8">
      <c r="A83" t="s">
        <v>97</v>
      </c>
      <c r="B83" t="s">
        <v>34</v>
      </c>
      <c r="C83" t="s">
        <v>10</v>
      </c>
      <c r="F83">
        <v>845</v>
      </c>
      <c r="G83" t="s">
        <v>11</v>
      </c>
      <c r="H83" t="s">
        <v>11</v>
      </c>
    </row>
    <row r="84" spans="1:8">
      <c r="A84" t="s">
        <v>54</v>
      </c>
      <c r="B84" t="s">
        <v>74</v>
      </c>
      <c r="C84" t="s">
        <v>21</v>
      </c>
      <c r="F84">
        <v>2034</v>
      </c>
      <c r="G84" t="s">
        <v>57</v>
      </c>
      <c r="H84" t="s">
        <v>40</v>
      </c>
    </row>
    <row r="85" spans="1:8">
      <c r="A85" t="s">
        <v>98</v>
      </c>
      <c r="B85" t="s">
        <v>29</v>
      </c>
      <c r="C85" t="s">
        <v>21</v>
      </c>
      <c r="F85">
        <v>970</v>
      </c>
      <c r="G85" t="s">
        <v>36</v>
      </c>
      <c r="H85" t="s">
        <v>37</v>
      </c>
    </row>
    <row r="86" spans="1:8">
      <c r="A86" t="s">
        <v>82</v>
      </c>
      <c r="B86" t="s">
        <v>52</v>
      </c>
      <c r="C86" t="s">
        <v>10</v>
      </c>
      <c r="F86">
        <v>52</v>
      </c>
      <c r="G86" t="s">
        <v>11</v>
      </c>
      <c r="H86" t="s">
        <v>11</v>
      </c>
    </row>
    <row r="87" spans="1:8">
      <c r="A87" t="s">
        <v>99</v>
      </c>
      <c r="B87" t="s">
        <v>20</v>
      </c>
      <c r="C87" t="s">
        <v>21</v>
      </c>
      <c r="F87">
        <v>2970</v>
      </c>
      <c r="G87" t="s">
        <v>39</v>
      </c>
      <c r="H87" t="s">
        <v>68</v>
      </c>
    </row>
    <row r="88" spans="1:8">
      <c r="A88" t="s">
        <v>70</v>
      </c>
      <c r="B88" t="s">
        <v>34</v>
      </c>
      <c r="C88" t="s">
        <v>10</v>
      </c>
      <c r="F88">
        <v>1315</v>
      </c>
      <c r="G88" t="s">
        <v>11</v>
      </c>
      <c r="H88" t="s">
        <v>11</v>
      </c>
    </row>
    <row r="89" spans="1:8">
      <c r="A89" t="s">
        <v>69</v>
      </c>
      <c r="B89" t="s">
        <v>59</v>
      </c>
      <c r="C89" t="s">
        <v>14</v>
      </c>
      <c r="D89">
        <v>1</v>
      </c>
      <c r="E89">
        <v>72</v>
      </c>
      <c r="F89">
        <v>72</v>
      </c>
      <c r="G89" t="s">
        <v>60</v>
      </c>
      <c r="H89" t="s">
        <v>16</v>
      </c>
    </row>
    <row r="90" spans="1:8">
      <c r="A90" t="s">
        <v>96</v>
      </c>
      <c r="B90" t="s">
        <v>74</v>
      </c>
      <c r="C90" t="s">
        <v>21</v>
      </c>
      <c r="F90">
        <v>1307</v>
      </c>
      <c r="G90" t="s">
        <v>15</v>
      </c>
      <c r="H90" t="s">
        <v>68</v>
      </c>
    </row>
    <row r="91" spans="1:8">
      <c r="A91" t="s">
        <v>94</v>
      </c>
      <c r="B91" t="s">
        <v>86</v>
      </c>
      <c r="C91" t="s">
        <v>14</v>
      </c>
      <c r="D91">
        <v>8</v>
      </c>
      <c r="E91">
        <v>40</v>
      </c>
      <c r="F91">
        <v>320</v>
      </c>
      <c r="G91" t="s">
        <v>22</v>
      </c>
      <c r="H91" t="s">
        <v>68</v>
      </c>
    </row>
    <row r="92" spans="1:8">
      <c r="A92" t="s">
        <v>100</v>
      </c>
      <c r="B92" t="s">
        <v>66</v>
      </c>
      <c r="C92" t="s">
        <v>14</v>
      </c>
      <c r="D92">
        <v>8</v>
      </c>
      <c r="E92">
        <v>64</v>
      </c>
      <c r="F92">
        <v>512</v>
      </c>
      <c r="G92" t="s">
        <v>60</v>
      </c>
      <c r="H92" t="s">
        <v>40</v>
      </c>
    </row>
    <row r="93" spans="1:8">
      <c r="A93" t="s">
        <v>61</v>
      </c>
      <c r="B93" t="s">
        <v>18</v>
      </c>
      <c r="C93" t="s">
        <v>10</v>
      </c>
      <c r="F93">
        <v>1118</v>
      </c>
      <c r="G93" t="s">
        <v>11</v>
      </c>
      <c r="H93" t="s">
        <v>11</v>
      </c>
    </row>
    <row r="94" spans="1:8">
      <c r="A94" t="s">
        <v>101</v>
      </c>
      <c r="B94" t="s">
        <v>66</v>
      </c>
      <c r="C94" t="s">
        <v>14</v>
      </c>
      <c r="D94">
        <v>9</v>
      </c>
      <c r="E94">
        <v>17</v>
      </c>
      <c r="F94">
        <v>153</v>
      </c>
      <c r="G94" t="s">
        <v>39</v>
      </c>
      <c r="H94" t="s">
        <v>68</v>
      </c>
    </row>
    <row r="95" spans="1:8">
      <c r="A95" t="s">
        <v>102</v>
      </c>
      <c r="B95" t="s">
        <v>103</v>
      </c>
      <c r="C95" t="s">
        <v>14</v>
      </c>
      <c r="D95">
        <v>7</v>
      </c>
      <c r="E95">
        <v>62</v>
      </c>
      <c r="F95">
        <v>434</v>
      </c>
      <c r="G95" t="s">
        <v>15</v>
      </c>
      <c r="H95" t="s">
        <v>37</v>
      </c>
    </row>
    <row r="96" spans="1:8">
      <c r="A96" t="s">
        <v>38</v>
      </c>
      <c r="B96" t="s">
        <v>9</v>
      </c>
      <c r="C96" t="s">
        <v>10</v>
      </c>
      <c r="F96">
        <v>794</v>
      </c>
      <c r="G96" t="s">
        <v>11</v>
      </c>
      <c r="H96" t="s">
        <v>11</v>
      </c>
    </row>
    <row r="97" spans="1:8">
      <c r="A97" t="s">
        <v>104</v>
      </c>
      <c r="B97" t="s">
        <v>86</v>
      </c>
      <c r="C97" t="s">
        <v>14</v>
      </c>
      <c r="D97">
        <v>3</v>
      </c>
      <c r="E97">
        <v>17</v>
      </c>
      <c r="F97">
        <v>51</v>
      </c>
      <c r="G97" t="s">
        <v>39</v>
      </c>
      <c r="H97" t="s">
        <v>40</v>
      </c>
    </row>
    <row r="98" spans="1:8">
      <c r="A98" t="s">
        <v>61</v>
      </c>
      <c r="B98" t="s">
        <v>49</v>
      </c>
      <c r="C98" t="s">
        <v>14</v>
      </c>
      <c r="D98">
        <v>6</v>
      </c>
      <c r="E98">
        <v>19</v>
      </c>
      <c r="F98">
        <v>114</v>
      </c>
      <c r="G98" t="s">
        <v>36</v>
      </c>
      <c r="H98" t="s">
        <v>37</v>
      </c>
    </row>
    <row r="99" spans="1:8">
      <c r="A99" t="s">
        <v>105</v>
      </c>
      <c r="B99" t="s">
        <v>34</v>
      </c>
      <c r="C99" t="s">
        <v>10</v>
      </c>
      <c r="F99">
        <v>861</v>
      </c>
      <c r="G99" t="s">
        <v>11</v>
      </c>
      <c r="H99" t="s">
        <v>11</v>
      </c>
    </row>
    <row r="100" spans="1:8">
      <c r="A100" t="s">
        <v>83</v>
      </c>
      <c r="B100" t="s">
        <v>18</v>
      </c>
      <c r="C100" t="s">
        <v>10</v>
      </c>
      <c r="F100">
        <v>1147</v>
      </c>
      <c r="G100" t="s">
        <v>11</v>
      </c>
      <c r="H100" t="s">
        <v>11</v>
      </c>
    </row>
    <row r="101" spans="1:8">
      <c r="A101" t="s">
        <v>93</v>
      </c>
      <c r="B101" t="s">
        <v>74</v>
      </c>
      <c r="C101" t="s">
        <v>21</v>
      </c>
      <c r="F101">
        <v>1575</v>
      </c>
      <c r="G101" t="s">
        <v>30</v>
      </c>
      <c r="H101" t="s">
        <v>23</v>
      </c>
    </row>
    <row r="102" spans="1:8">
      <c r="A102" t="s">
        <v>106</v>
      </c>
      <c r="B102" t="s">
        <v>56</v>
      </c>
      <c r="C102" t="s">
        <v>21</v>
      </c>
      <c r="F102">
        <v>1220</v>
      </c>
      <c r="G102" t="s">
        <v>22</v>
      </c>
      <c r="H102" t="s">
        <v>16</v>
      </c>
    </row>
    <row r="103" spans="1:8">
      <c r="A103" t="s">
        <v>69</v>
      </c>
      <c r="B103" t="s">
        <v>48</v>
      </c>
      <c r="C103" t="s">
        <v>10</v>
      </c>
      <c r="F103">
        <v>813</v>
      </c>
      <c r="G103" t="s">
        <v>11</v>
      </c>
      <c r="H103" t="s">
        <v>11</v>
      </c>
    </row>
    <row r="104" spans="1:8">
      <c r="A104" t="s">
        <v>107</v>
      </c>
      <c r="B104" t="s">
        <v>79</v>
      </c>
      <c r="C104" t="s">
        <v>21</v>
      </c>
      <c r="F104">
        <v>2429</v>
      </c>
      <c r="G104" t="s">
        <v>60</v>
      </c>
      <c r="H104" t="s">
        <v>68</v>
      </c>
    </row>
    <row r="105" spans="1:8">
      <c r="A105" t="s">
        <v>98</v>
      </c>
      <c r="B105" t="s">
        <v>43</v>
      </c>
      <c r="C105" t="s">
        <v>14</v>
      </c>
      <c r="D105">
        <v>4</v>
      </c>
      <c r="E105">
        <v>40</v>
      </c>
      <c r="F105">
        <v>160</v>
      </c>
      <c r="G105" t="s">
        <v>39</v>
      </c>
      <c r="H105" t="s">
        <v>16</v>
      </c>
    </row>
    <row r="106" spans="1:8">
      <c r="A106" t="s">
        <v>89</v>
      </c>
      <c r="B106" t="s">
        <v>59</v>
      </c>
      <c r="C106" t="s">
        <v>14</v>
      </c>
      <c r="D106">
        <v>5</v>
      </c>
      <c r="E106">
        <v>46</v>
      </c>
      <c r="F106">
        <v>230</v>
      </c>
      <c r="G106" t="s">
        <v>39</v>
      </c>
      <c r="H106" t="s">
        <v>23</v>
      </c>
    </row>
    <row r="107" spans="1:8">
      <c r="A107" t="s">
        <v>85</v>
      </c>
      <c r="B107" t="s">
        <v>27</v>
      </c>
      <c r="C107" t="s">
        <v>14</v>
      </c>
      <c r="D107">
        <v>9</v>
      </c>
      <c r="E107">
        <v>10</v>
      </c>
      <c r="F107">
        <v>90</v>
      </c>
      <c r="G107" t="s">
        <v>39</v>
      </c>
      <c r="H107" t="s">
        <v>16</v>
      </c>
    </row>
    <row r="108" spans="1:8">
      <c r="A108" t="s">
        <v>102</v>
      </c>
      <c r="B108" t="s">
        <v>13</v>
      </c>
      <c r="C108" t="s">
        <v>14</v>
      </c>
      <c r="D108">
        <v>7</v>
      </c>
      <c r="E108">
        <v>24</v>
      </c>
      <c r="F108">
        <v>168</v>
      </c>
      <c r="G108" t="s">
        <v>15</v>
      </c>
      <c r="H108" t="s">
        <v>37</v>
      </c>
    </row>
    <row r="109" spans="1:8">
      <c r="A109" t="s">
        <v>75</v>
      </c>
      <c r="B109" t="s">
        <v>66</v>
      </c>
      <c r="C109" t="s">
        <v>14</v>
      </c>
      <c r="D109">
        <v>1</v>
      </c>
      <c r="E109">
        <v>37</v>
      </c>
      <c r="F109">
        <v>37</v>
      </c>
      <c r="G109" t="s">
        <v>36</v>
      </c>
      <c r="H109" t="s">
        <v>37</v>
      </c>
    </row>
    <row r="110" spans="1:8">
      <c r="A110" t="s">
        <v>67</v>
      </c>
      <c r="B110" t="s">
        <v>86</v>
      </c>
      <c r="C110" t="s">
        <v>14</v>
      </c>
      <c r="D110">
        <v>7</v>
      </c>
      <c r="E110">
        <v>48</v>
      </c>
      <c r="F110">
        <v>336</v>
      </c>
      <c r="G110" t="s">
        <v>15</v>
      </c>
      <c r="H110" t="s">
        <v>68</v>
      </c>
    </row>
    <row r="111" spans="1:8">
      <c r="A111" t="s">
        <v>58</v>
      </c>
      <c r="B111" t="s">
        <v>43</v>
      </c>
      <c r="C111" t="s">
        <v>14</v>
      </c>
      <c r="D111">
        <v>8</v>
      </c>
      <c r="E111">
        <v>55</v>
      </c>
      <c r="F111">
        <v>440</v>
      </c>
      <c r="G111" t="s">
        <v>22</v>
      </c>
      <c r="H111" t="s">
        <v>23</v>
      </c>
    </row>
    <row r="112" spans="1:8">
      <c r="A112" t="s">
        <v>28</v>
      </c>
      <c r="B112" t="s">
        <v>9</v>
      </c>
      <c r="C112" t="s">
        <v>10</v>
      </c>
      <c r="F112">
        <v>353</v>
      </c>
      <c r="G112" t="s">
        <v>11</v>
      </c>
      <c r="H112" t="s">
        <v>11</v>
      </c>
    </row>
    <row r="113" spans="1:8">
      <c r="A113" t="s">
        <v>65</v>
      </c>
      <c r="B113" t="s">
        <v>9</v>
      </c>
      <c r="C113" t="s">
        <v>10</v>
      </c>
      <c r="F113">
        <v>96</v>
      </c>
      <c r="G113" t="s">
        <v>11</v>
      </c>
      <c r="H113" t="s">
        <v>11</v>
      </c>
    </row>
    <row r="114" spans="1:8">
      <c r="A114" t="s">
        <v>38</v>
      </c>
      <c r="B114" t="s">
        <v>20</v>
      </c>
      <c r="C114" t="s">
        <v>21</v>
      </c>
      <c r="F114">
        <v>2667</v>
      </c>
      <c r="G114" t="s">
        <v>30</v>
      </c>
      <c r="H114" t="s">
        <v>37</v>
      </c>
    </row>
    <row r="115" spans="1:8">
      <c r="A115" t="s">
        <v>65</v>
      </c>
      <c r="B115" t="s">
        <v>72</v>
      </c>
      <c r="C115" t="s">
        <v>10</v>
      </c>
      <c r="F115">
        <v>151</v>
      </c>
      <c r="G115" t="s">
        <v>11</v>
      </c>
      <c r="H115" t="s">
        <v>11</v>
      </c>
    </row>
    <row r="116" spans="1:8">
      <c r="A116" t="s">
        <v>82</v>
      </c>
      <c r="B116" t="s">
        <v>66</v>
      </c>
      <c r="C116" t="s">
        <v>14</v>
      </c>
      <c r="D116">
        <v>6</v>
      </c>
      <c r="E116">
        <v>33</v>
      </c>
      <c r="F116">
        <v>198</v>
      </c>
      <c r="G116" t="s">
        <v>57</v>
      </c>
      <c r="H116" t="s">
        <v>68</v>
      </c>
    </row>
    <row r="117" spans="1:8">
      <c r="A117" t="s">
        <v>94</v>
      </c>
      <c r="B117" t="s">
        <v>79</v>
      </c>
      <c r="C117" t="s">
        <v>21</v>
      </c>
      <c r="F117">
        <v>2338</v>
      </c>
      <c r="G117" t="s">
        <v>22</v>
      </c>
      <c r="H117" t="s">
        <v>40</v>
      </c>
    </row>
    <row r="118" spans="1:8">
      <c r="A118" t="s">
        <v>108</v>
      </c>
      <c r="B118" t="s">
        <v>43</v>
      </c>
      <c r="C118" t="s">
        <v>14</v>
      </c>
      <c r="D118">
        <v>9</v>
      </c>
      <c r="E118">
        <v>22</v>
      </c>
      <c r="F118">
        <v>198</v>
      </c>
      <c r="G118" t="s">
        <v>30</v>
      </c>
      <c r="H118" t="s">
        <v>37</v>
      </c>
    </row>
    <row r="119" spans="1:8">
      <c r="A119" t="s">
        <v>65</v>
      </c>
      <c r="B119" t="s">
        <v>34</v>
      </c>
      <c r="C119" t="s">
        <v>10</v>
      </c>
      <c r="F119">
        <v>838</v>
      </c>
      <c r="G119" t="s">
        <v>11</v>
      </c>
      <c r="H119" t="s">
        <v>11</v>
      </c>
    </row>
    <row r="120" spans="1:8">
      <c r="A120" t="s">
        <v>45</v>
      </c>
      <c r="B120" t="s">
        <v>56</v>
      </c>
      <c r="C120" t="s">
        <v>21</v>
      </c>
      <c r="F120">
        <v>1384</v>
      </c>
      <c r="G120" t="s">
        <v>22</v>
      </c>
      <c r="H120" t="s">
        <v>37</v>
      </c>
    </row>
    <row r="121" spans="1:8">
      <c r="A121" t="s">
        <v>104</v>
      </c>
      <c r="B121" t="s">
        <v>56</v>
      </c>
      <c r="C121" t="s">
        <v>21</v>
      </c>
      <c r="F121">
        <v>1546</v>
      </c>
      <c r="G121" t="s">
        <v>30</v>
      </c>
      <c r="H121" t="s">
        <v>37</v>
      </c>
    </row>
    <row r="122" spans="1:8">
      <c r="A122" t="s">
        <v>109</v>
      </c>
      <c r="B122" t="s">
        <v>56</v>
      </c>
      <c r="C122" t="s">
        <v>21</v>
      </c>
      <c r="F122">
        <v>1586</v>
      </c>
      <c r="G122" t="s">
        <v>57</v>
      </c>
      <c r="H122" t="s">
        <v>37</v>
      </c>
    </row>
    <row r="123" spans="1:8">
      <c r="A123" t="s">
        <v>105</v>
      </c>
      <c r="B123" t="s">
        <v>20</v>
      </c>
      <c r="C123" t="s">
        <v>21</v>
      </c>
      <c r="F123">
        <v>2131</v>
      </c>
      <c r="G123" t="s">
        <v>30</v>
      </c>
      <c r="H123" t="s">
        <v>23</v>
      </c>
    </row>
    <row r="124" spans="1:8">
      <c r="A124" t="s">
        <v>69</v>
      </c>
      <c r="B124" t="s">
        <v>18</v>
      </c>
      <c r="C124" t="s">
        <v>10</v>
      </c>
      <c r="F124">
        <v>1364</v>
      </c>
      <c r="G124" t="s">
        <v>11</v>
      </c>
      <c r="H124" t="s">
        <v>11</v>
      </c>
    </row>
    <row r="125" spans="1:8">
      <c r="A125" t="s">
        <v>83</v>
      </c>
      <c r="B125" t="s">
        <v>74</v>
      </c>
      <c r="C125" t="s">
        <v>21</v>
      </c>
      <c r="F125">
        <v>2559</v>
      </c>
      <c r="G125" t="s">
        <v>22</v>
      </c>
      <c r="H125" t="s">
        <v>37</v>
      </c>
    </row>
    <row r="126" spans="1:8">
      <c r="A126" t="s">
        <v>45</v>
      </c>
      <c r="B126" t="s">
        <v>52</v>
      </c>
      <c r="C126" t="s">
        <v>10</v>
      </c>
      <c r="F126">
        <v>1302</v>
      </c>
      <c r="G126" t="s">
        <v>11</v>
      </c>
      <c r="H126" t="s">
        <v>11</v>
      </c>
    </row>
    <row r="127" spans="1:8">
      <c r="A127" t="s">
        <v>54</v>
      </c>
      <c r="B127" t="s">
        <v>32</v>
      </c>
      <c r="C127" t="s">
        <v>10</v>
      </c>
      <c r="F127">
        <v>585</v>
      </c>
      <c r="G127" t="s">
        <v>11</v>
      </c>
      <c r="H127" t="s">
        <v>11</v>
      </c>
    </row>
    <row r="128" spans="1:8">
      <c r="A128" t="s">
        <v>110</v>
      </c>
      <c r="B128" t="s">
        <v>103</v>
      </c>
      <c r="C128" t="s">
        <v>14</v>
      </c>
      <c r="D128">
        <v>9</v>
      </c>
      <c r="E128">
        <v>25</v>
      </c>
      <c r="F128">
        <v>225</v>
      </c>
      <c r="G128" t="s">
        <v>60</v>
      </c>
      <c r="H128" t="s">
        <v>40</v>
      </c>
    </row>
    <row r="129" spans="1:8">
      <c r="A129" t="s">
        <v>50</v>
      </c>
      <c r="B129" t="s">
        <v>66</v>
      </c>
      <c r="C129" t="s">
        <v>14</v>
      </c>
      <c r="D129">
        <v>3</v>
      </c>
      <c r="E129">
        <v>82</v>
      </c>
      <c r="F129">
        <v>246</v>
      </c>
      <c r="G129" t="s">
        <v>39</v>
      </c>
      <c r="H129" t="s">
        <v>37</v>
      </c>
    </row>
    <row r="130" spans="1:8">
      <c r="A130" t="s">
        <v>26</v>
      </c>
      <c r="B130" t="s">
        <v>72</v>
      </c>
      <c r="C130" t="s">
        <v>10</v>
      </c>
      <c r="F130">
        <v>919</v>
      </c>
      <c r="G130" t="s">
        <v>11</v>
      </c>
      <c r="H130" t="s">
        <v>11</v>
      </c>
    </row>
    <row r="131" spans="1:8">
      <c r="A131" t="s">
        <v>61</v>
      </c>
      <c r="B131" t="s">
        <v>43</v>
      </c>
      <c r="C131" t="s">
        <v>14</v>
      </c>
      <c r="D131">
        <v>10</v>
      </c>
      <c r="E131">
        <v>56</v>
      </c>
      <c r="F131">
        <v>560</v>
      </c>
      <c r="G131" t="s">
        <v>22</v>
      </c>
      <c r="H131" t="s">
        <v>40</v>
      </c>
    </row>
    <row r="132" spans="1:8">
      <c r="A132" t="s">
        <v>87</v>
      </c>
      <c r="B132" t="s">
        <v>34</v>
      </c>
      <c r="C132" t="s">
        <v>10</v>
      </c>
      <c r="F132">
        <v>792</v>
      </c>
      <c r="G132" t="s">
        <v>11</v>
      </c>
      <c r="H132" t="s">
        <v>11</v>
      </c>
    </row>
    <row r="133" spans="1:8">
      <c r="A133" t="s">
        <v>24</v>
      </c>
      <c r="B133" t="s">
        <v>18</v>
      </c>
      <c r="C133" t="s">
        <v>10</v>
      </c>
      <c r="F133">
        <v>535</v>
      </c>
      <c r="G133" t="s">
        <v>11</v>
      </c>
      <c r="H133" t="s">
        <v>11</v>
      </c>
    </row>
    <row r="134" spans="1:8">
      <c r="A134" t="s">
        <v>8</v>
      </c>
      <c r="B134" t="s">
        <v>29</v>
      </c>
      <c r="C134" t="s">
        <v>21</v>
      </c>
      <c r="F134">
        <v>555</v>
      </c>
      <c r="G134" t="s">
        <v>39</v>
      </c>
      <c r="H134" t="s">
        <v>68</v>
      </c>
    </row>
    <row r="135" spans="1:8">
      <c r="A135" t="s">
        <v>97</v>
      </c>
      <c r="B135" t="s">
        <v>29</v>
      </c>
      <c r="C135" t="s">
        <v>21</v>
      </c>
      <c r="F135">
        <v>726</v>
      </c>
      <c r="G135" t="s">
        <v>36</v>
      </c>
      <c r="H135" t="s">
        <v>37</v>
      </c>
    </row>
    <row r="136" spans="1:8">
      <c r="A136" t="s">
        <v>63</v>
      </c>
      <c r="B136" t="s">
        <v>49</v>
      </c>
      <c r="C136" t="s">
        <v>14</v>
      </c>
      <c r="D136">
        <v>2</v>
      </c>
      <c r="E136">
        <v>58</v>
      </c>
      <c r="F136">
        <v>116</v>
      </c>
      <c r="G136" t="s">
        <v>36</v>
      </c>
      <c r="H136" t="s">
        <v>68</v>
      </c>
    </row>
    <row r="137" spans="1:8">
      <c r="A137" t="s">
        <v>111</v>
      </c>
      <c r="B137" t="s">
        <v>25</v>
      </c>
      <c r="C137" t="s">
        <v>10</v>
      </c>
      <c r="F137">
        <v>1483</v>
      </c>
      <c r="G137" t="s">
        <v>11</v>
      </c>
      <c r="H137" t="s">
        <v>11</v>
      </c>
    </row>
    <row r="138" spans="1:8">
      <c r="A138" t="s">
        <v>112</v>
      </c>
      <c r="B138" t="s">
        <v>20</v>
      </c>
      <c r="C138" t="s">
        <v>21</v>
      </c>
      <c r="F138">
        <v>747</v>
      </c>
      <c r="G138" t="s">
        <v>57</v>
      </c>
      <c r="H138" t="s">
        <v>68</v>
      </c>
    </row>
    <row r="139" spans="1:8">
      <c r="A139" t="s">
        <v>113</v>
      </c>
      <c r="B139" t="s">
        <v>66</v>
      </c>
      <c r="C139" t="s">
        <v>14</v>
      </c>
      <c r="D139">
        <v>5</v>
      </c>
      <c r="E139">
        <v>99</v>
      </c>
      <c r="F139">
        <v>495</v>
      </c>
      <c r="G139" t="s">
        <v>57</v>
      </c>
      <c r="H139" t="s">
        <v>16</v>
      </c>
    </row>
    <row r="140" spans="1:8">
      <c r="A140" t="s">
        <v>41</v>
      </c>
      <c r="B140" t="s">
        <v>29</v>
      </c>
      <c r="C140" t="s">
        <v>21</v>
      </c>
      <c r="F140">
        <v>1367</v>
      </c>
      <c r="G140" t="s">
        <v>36</v>
      </c>
      <c r="H140" t="s">
        <v>40</v>
      </c>
    </row>
    <row r="141" spans="1:8">
      <c r="A141" t="s">
        <v>38</v>
      </c>
      <c r="B141" t="s">
        <v>79</v>
      </c>
      <c r="C141" t="s">
        <v>21</v>
      </c>
      <c r="F141">
        <v>1633</v>
      </c>
      <c r="G141" t="s">
        <v>22</v>
      </c>
      <c r="H141" t="s">
        <v>40</v>
      </c>
    </row>
    <row r="142" spans="1:8">
      <c r="A142" t="s">
        <v>61</v>
      </c>
      <c r="B142" t="s">
        <v>56</v>
      </c>
      <c r="C142" t="s">
        <v>21</v>
      </c>
      <c r="F142">
        <v>1461</v>
      </c>
      <c r="G142" t="s">
        <v>39</v>
      </c>
      <c r="H142" t="s">
        <v>68</v>
      </c>
    </row>
    <row r="143" spans="1:8">
      <c r="A143" t="s">
        <v>62</v>
      </c>
      <c r="B143" t="s">
        <v>59</v>
      </c>
      <c r="C143" t="s">
        <v>14</v>
      </c>
      <c r="D143">
        <v>1</v>
      </c>
      <c r="E143">
        <v>47</v>
      </c>
      <c r="F143">
        <v>47</v>
      </c>
      <c r="G143" t="s">
        <v>22</v>
      </c>
      <c r="H143" t="s">
        <v>16</v>
      </c>
    </row>
    <row r="144" spans="1:8">
      <c r="A144" t="s">
        <v>114</v>
      </c>
      <c r="B144" t="s">
        <v>52</v>
      </c>
      <c r="C144" t="s">
        <v>10</v>
      </c>
      <c r="F144">
        <v>655</v>
      </c>
      <c r="G144" t="s">
        <v>11</v>
      </c>
      <c r="H144" t="s">
        <v>11</v>
      </c>
    </row>
    <row r="145" spans="1:8">
      <c r="A145" t="s">
        <v>12</v>
      </c>
      <c r="B145" t="s">
        <v>29</v>
      </c>
      <c r="C145" t="s">
        <v>21</v>
      </c>
      <c r="F145">
        <v>886</v>
      </c>
      <c r="G145" t="s">
        <v>15</v>
      </c>
      <c r="H145" t="s">
        <v>37</v>
      </c>
    </row>
    <row r="146" spans="1:8">
      <c r="A146" t="s">
        <v>76</v>
      </c>
      <c r="B146" t="s">
        <v>59</v>
      </c>
      <c r="C146" t="s">
        <v>14</v>
      </c>
      <c r="D146">
        <v>1</v>
      </c>
      <c r="E146">
        <v>64</v>
      </c>
      <c r="F146">
        <v>64</v>
      </c>
      <c r="G146" t="s">
        <v>60</v>
      </c>
      <c r="H146" t="s">
        <v>68</v>
      </c>
    </row>
    <row r="147" spans="1:8">
      <c r="A147" t="s">
        <v>76</v>
      </c>
      <c r="B147" t="s">
        <v>103</v>
      </c>
      <c r="C147" t="s">
        <v>14</v>
      </c>
      <c r="D147">
        <v>9</v>
      </c>
      <c r="E147">
        <v>42</v>
      </c>
      <c r="F147">
        <v>378</v>
      </c>
      <c r="G147" t="s">
        <v>39</v>
      </c>
      <c r="H147" t="s">
        <v>37</v>
      </c>
    </row>
    <row r="148" spans="1:8">
      <c r="A148" t="s">
        <v>108</v>
      </c>
      <c r="B148" t="s">
        <v>32</v>
      </c>
      <c r="C148" t="s">
        <v>10</v>
      </c>
      <c r="F148">
        <v>1044</v>
      </c>
      <c r="G148" t="s">
        <v>11</v>
      </c>
      <c r="H148" t="s">
        <v>11</v>
      </c>
    </row>
    <row r="149" spans="1:8">
      <c r="A149" t="s">
        <v>115</v>
      </c>
      <c r="B149" t="s">
        <v>27</v>
      </c>
      <c r="C149" t="s">
        <v>14</v>
      </c>
      <c r="D149">
        <v>4</v>
      </c>
      <c r="E149">
        <v>87</v>
      </c>
      <c r="F149">
        <v>348</v>
      </c>
      <c r="G149" t="s">
        <v>57</v>
      </c>
      <c r="H149" t="s">
        <v>40</v>
      </c>
    </row>
    <row r="150" spans="1:8">
      <c r="A150" t="s">
        <v>45</v>
      </c>
      <c r="B150" t="s">
        <v>66</v>
      </c>
      <c r="C150" t="s">
        <v>14</v>
      </c>
      <c r="D150">
        <v>8</v>
      </c>
      <c r="E150">
        <v>72</v>
      </c>
      <c r="F150">
        <v>576</v>
      </c>
      <c r="G150" t="s">
        <v>30</v>
      </c>
      <c r="H150" t="s">
        <v>37</v>
      </c>
    </row>
    <row r="151" spans="1:8">
      <c r="A151" t="s">
        <v>92</v>
      </c>
      <c r="B151" t="s">
        <v>25</v>
      </c>
      <c r="C151" t="s">
        <v>10</v>
      </c>
      <c r="F151">
        <v>1328</v>
      </c>
      <c r="G151" t="s">
        <v>11</v>
      </c>
      <c r="H15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opLeftCell="A25" zoomScale="104" workbookViewId="0">
      <selection activeCell="J40" sqref="J40"/>
    </sheetView>
  </sheetViews>
  <sheetFormatPr defaultRowHeight="15"/>
  <cols>
    <col min="1" max="1" width="10.42578125" bestFit="1" customWidth="1"/>
    <col min="2" max="2" width="28" customWidth="1"/>
    <col min="4" max="4" width="14.28515625" bestFit="1" customWidth="1"/>
    <col min="6" max="6" width="13.28515625" style="3" customWidth="1"/>
    <col min="7" max="7" width="10.5703125" style="3" bestFit="1" customWidth="1"/>
    <col min="8" max="8" width="22" customWidth="1"/>
    <col min="9" max="9" width="14" customWidth="1"/>
    <col min="11" max="11" width="10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116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</row>
    <row r="2" spans="1:9">
      <c r="A2" s="4">
        <v>45778</v>
      </c>
      <c r="B2" t="s">
        <v>18</v>
      </c>
      <c r="C2" t="s">
        <v>10</v>
      </c>
      <c r="D2" t="s">
        <v>117</v>
      </c>
      <c r="G2" s="3">
        <v>139</v>
      </c>
      <c r="H2" t="s">
        <v>11</v>
      </c>
      <c r="I2" t="s">
        <v>11</v>
      </c>
    </row>
    <row r="3" spans="1:9">
      <c r="A3" s="4">
        <v>45778</v>
      </c>
      <c r="B3" t="s">
        <v>20</v>
      </c>
      <c r="C3" t="s">
        <v>118</v>
      </c>
      <c r="D3" t="s">
        <v>21</v>
      </c>
      <c r="G3" s="3">
        <v>2700</v>
      </c>
      <c r="H3" t="s">
        <v>22</v>
      </c>
      <c r="I3" t="s">
        <v>23</v>
      </c>
    </row>
    <row r="4" spans="1:9">
      <c r="A4" s="4">
        <v>45778</v>
      </c>
      <c r="B4" t="s">
        <v>18</v>
      </c>
      <c r="C4" t="s">
        <v>10</v>
      </c>
      <c r="D4" t="s">
        <v>117</v>
      </c>
      <c r="G4" s="3">
        <v>1050</v>
      </c>
      <c r="H4" t="s">
        <v>11</v>
      </c>
      <c r="I4" t="s">
        <v>11</v>
      </c>
    </row>
    <row r="5" spans="1:9">
      <c r="A5" s="4">
        <v>45778</v>
      </c>
      <c r="B5" t="s">
        <v>25</v>
      </c>
      <c r="C5" t="s">
        <v>10</v>
      </c>
      <c r="D5" t="s">
        <v>119</v>
      </c>
      <c r="G5" s="3">
        <v>338</v>
      </c>
      <c r="H5" t="s">
        <v>120</v>
      </c>
      <c r="I5" t="s">
        <v>11</v>
      </c>
    </row>
    <row r="6" spans="1:9">
      <c r="A6" s="4">
        <v>45778</v>
      </c>
      <c r="B6" t="s">
        <v>27</v>
      </c>
      <c r="C6" t="s">
        <v>118</v>
      </c>
      <c r="D6" t="s">
        <v>14</v>
      </c>
      <c r="E6">
        <v>40</v>
      </c>
      <c r="F6" s="3">
        <v>2</v>
      </c>
      <c r="G6" s="3">
        <f>F6*E6</f>
        <v>80</v>
      </c>
      <c r="H6" t="s">
        <v>22</v>
      </c>
      <c r="I6" t="s">
        <v>16</v>
      </c>
    </row>
    <row r="7" spans="1:9">
      <c r="A7" s="4">
        <v>45778</v>
      </c>
      <c r="B7" t="s">
        <v>29</v>
      </c>
      <c r="C7" t="s">
        <v>118</v>
      </c>
      <c r="D7" t="s">
        <v>21</v>
      </c>
      <c r="G7" s="3">
        <v>805</v>
      </c>
      <c r="H7" t="s">
        <v>30</v>
      </c>
      <c r="I7" t="s">
        <v>16</v>
      </c>
    </row>
    <row r="8" spans="1:9">
      <c r="A8" s="4">
        <v>45778</v>
      </c>
      <c r="B8" t="s">
        <v>32</v>
      </c>
      <c r="C8" t="s">
        <v>10</v>
      </c>
      <c r="D8" t="s">
        <v>117</v>
      </c>
      <c r="G8" s="3">
        <v>638</v>
      </c>
      <c r="H8" t="s">
        <v>11</v>
      </c>
      <c r="I8" t="s">
        <v>11</v>
      </c>
    </row>
    <row r="9" spans="1:9">
      <c r="A9" s="4">
        <v>45778</v>
      </c>
      <c r="B9" t="s">
        <v>34</v>
      </c>
      <c r="C9" t="s">
        <v>10</v>
      </c>
      <c r="D9" t="s">
        <v>119</v>
      </c>
      <c r="G9" s="3">
        <v>219</v>
      </c>
      <c r="H9" t="s">
        <v>11</v>
      </c>
      <c r="I9" t="s">
        <v>11</v>
      </c>
    </row>
    <row r="10" spans="1:9">
      <c r="A10" s="4">
        <v>45779</v>
      </c>
      <c r="B10" t="s">
        <v>20</v>
      </c>
      <c r="C10" t="s">
        <v>118</v>
      </c>
      <c r="D10" t="s">
        <v>21</v>
      </c>
      <c r="G10" s="3">
        <v>1416</v>
      </c>
      <c r="H10" t="s">
        <v>36</v>
      </c>
      <c r="I10" t="s">
        <v>37</v>
      </c>
    </row>
    <row r="11" spans="1:9">
      <c r="A11" s="4">
        <v>45779</v>
      </c>
      <c r="B11" t="s">
        <v>20</v>
      </c>
      <c r="C11" t="s">
        <v>118</v>
      </c>
      <c r="D11" t="s">
        <v>21</v>
      </c>
      <c r="G11" s="3">
        <v>2050</v>
      </c>
      <c r="H11" t="s">
        <v>39</v>
      </c>
      <c r="I11" t="s">
        <v>40</v>
      </c>
    </row>
    <row r="12" spans="1:9">
      <c r="A12" s="4">
        <v>45779</v>
      </c>
      <c r="B12" t="s">
        <v>25</v>
      </c>
      <c r="C12" t="s">
        <v>10</v>
      </c>
      <c r="D12" t="s">
        <v>119</v>
      </c>
      <c r="G12" s="3">
        <v>93</v>
      </c>
      <c r="H12" t="s">
        <v>120</v>
      </c>
      <c r="I12" t="s">
        <v>11</v>
      </c>
    </row>
    <row r="13" spans="1:9">
      <c r="A13" s="4">
        <v>45779</v>
      </c>
      <c r="B13" t="s">
        <v>43</v>
      </c>
      <c r="C13" t="s">
        <v>118</v>
      </c>
      <c r="D13" t="s">
        <v>14</v>
      </c>
      <c r="E13">
        <v>20</v>
      </c>
      <c r="F13" s="3">
        <v>10</v>
      </c>
      <c r="G13" s="3">
        <f>E13*F13</f>
        <v>200</v>
      </c>
      <c r="H13" t="s">
        <v>15</v>
      </c>
      <c r="I13" t="s">
        <v>37</v>
      </c>
    </row>
    <row r="14" spans="1:9">
      <c r="A14" s="4">
        <v>45780</v>
      </c>
      <c r="B14" t="s">
        <v>20</v>
      </c>
      <c r="C14" t="s">
        <v>118</v>
      </c>
      <c r="D14" t="s">
        <v>21</v>
      </c>
      <c r="G14" s="3">
        <v>1166</v>
      </c>
      <c r="H14" t="s">
        <v>36</v>
      </c>
      <c r="I14" t="s">
        <v>37</v>
      </c>
    </row>
    <row r="15" spans="1:9">
      <c r="A15" s="4">
        <v>45780</v>
      </c>
      <c r="B15" t="s">
        <v>20</v>
      </c>
      <c r="C15" t="s">
        <v>118</v>
      </c>
      <c r="D15" t="s">
        <v>21</v>
      </c>
      <c r="G15" s="3">
        <v>2510</v>
      </c>
      <c r="H15" t="s">
        <v>30</v>
      </c>
      <c r="I15" t="s">
        <v>37</v>
      </c>
    </row>
    <row r="16" spans="1:9">
      <c r="A16" s="4">
        <v>45780</v>
      </c>
      <c r="B16" t="s">
        <v>18</v>
      </c>
      <c r="C16" t="s">
        <v>10</v>
      </c>
      <c r="D16" t="s">
        <v>117</v>
      </c>
      <c r="G16" s="3">
        <v>955</v>
      </c>
      <c r="H16" t="s">
        <v>11</v>
      </c>
      <c r="I16" t="s">
        <v>11</v>
      </c>
    </row>
    <row r="17" spans="1:9">
      <c r="A17" s="4">
        <v>45780</v>
      </c>
      <c r="B17" t="s">
        <v>121</v>
      </c>
      <c r="C17" t="s">
        <v>10</v>
      </c>
      <c r="D17" t="s">
        <v>119</v>
      </c>
      <c r="G17" s="3">
        <v>402</v>
      </c>
      <c r="H17" t="s">
        <v>122</v>
      </c>
      <c r="I17" t="s">
        <v>11</v>
      </c>
    </row>
    <row r="18" spans="1:9">
      <c r="A18" s="4">
        <v>45780</v>
      </c>
      <c r="B18" t="s">
        <v>123</v>
      </c>
      <c r="C18" t="s">
        <v>10</v>
      </c>
      <c r="D18" t="s">
        <v>117</v>
      </c>
      <c r="G18" s="3">
        <v>375</v>
      </c>
      <c r="H18" t="s">
        <v>11</v>
      </c>
      <c r="I18" t="s">
        <v>11</v>
      </c>
    </row>
    <row r="19" spans="1:9">
      <c r="A19" s="4">
        <v>45781</v>
      </c>
      <c r="B19" t="s">
        <v>49</v>
      </c>
      <c r="C19" t="s">
        <v>118</v>
      </c>
      <c r="D19" t="s">
        <v>14</v>
      </c>
      <c r="E19">
        <v>20</v>
      </c>
      <c r="F19" s="3">
        <v>89</v>
      </c>
      <c r="G19" s="3">
        <f>E19*F19</f>
        <v>1780</v>
      </c>
      <c r="H19" t="s">
        <v>39</v>
      </c>
      <c r="I19" t="s">
        <v>16</v>
      </c>
    </row>
    <row r="20" spans="1:9">
      <c r="A20" s="4">
        <v>45781</v>
      </c>
      <c r="B20" t="s">
        <v>18</v>
      </c>
      <c r="C20" t="s">
        <v>10</v>
      </c>
      <c r="D20" t="s">
        <v>117</v>
      </c>
      <c r="G20" s="3">
        <v>1341</v>
      </c>
      <c r="H20" t="s">
        <v>11</v>
      </c>
      <c r="I20" t="s">
        <v>11</v>
      </c>
    </row>
    <row r="21" spans="1:9">
      <c r="A21" s="4">
        <v>45781</v>
      </c>
      <c r="B21" t="s">
        <v>121</v>
      </c>
      <c r="C21" t="s">
        <v>10</v>
      </c>
      <c r="D21" t="s">
        <v>119</v>
      </c>
      <c r="G21" s="3">
        <v>1136</v>
      </c>
      <c r="H21" t="s">
        <v>11</v>
      </c>
      <c r="I21" t="s">
        <v>11</v>
      </c>
    </row>
    <row r="22" spans="1:9">
      <c r="A22" s="4">
        <v>45781</v>
      </c>
      <c r="B22" t="s">
        <v>27</v>
      </c>
      <c r="C22" t="s">
        <v>118</v>
      </c>
      <c r="D22" t="s">
        <v>14</v>
      </c>
      <c r="E22">
        <v>80</v>
      </c>
      <c r="F22" s="3">
        <v>2</v>
      </c>
      <c r="G22" s="3">
        <f>F22*E22</f>
        <v>160</v>
      </c>
      <c r="H22" t="s">
        <v>15</v>
      </c>
      <c r="I22" t="s">
        <v>16</v>
      </c>
    </row>
    <row r="23" spans="1:9">
      <c r="A23" s="4">
        <v>45781</v>
      </c>
      <c r="B23" t="s">
        <v>52</v>
      </c>
      <c r="C23" t="s">
        <v>10</v>
      </c>
      <c r="D23" t="s">
        <v>119</v>
      </c>
      <c r="G23" s="3">
        <v>1157</v>
      </c>
      <c r="H23" t="s">
        <v>11</v>
      </c>
      <c r="I23" t="s">
        <v>11</v>
      </c>
    </row>
    <row r="24" spans="1:9">
      <c r="A24" s="4">
        <v>45781</v>
      </c>
      <c r="B24" t="s">
        <v>124</v>
      </c>
      <c r="C24" t="s">
        <v>10</v>
      </c>
      <c r="D24" t="s">
        <v>125</v>
      </c>
      <c r="E24">
        <v>20</v>
      </c>
      <c r="F24" s="3">
        <v>5</v>
      </c>
      <c r="G24" s="3">
        <f>F24*E24</f>
        <v>100</v>
      </c>
      <c r="H24" t="s">
        <v>11</v>
      </c>
      <c r="I24" t="s">
        <v>11</v>
      </c>
    </row>
    <row r="25" spans="1:9">
      <c r="A25" s="4">
        <v>45782</v>
      </c>
      <c r="B25" t="s">
        <v>56</v>
      </c>
      <c r="C25" t="s">
        <v>118</v>
      </c>
      <c r="D25" t="s">
        <v>21</v>
      </c>
      <c r="G25" s="3">
        <v>2880</v>
      </c>
      <c r="H25" t="s">
        <v>57</v>
      </c>
      <c r="I25" t="s">
        <v>16</v>
      </c>
    </row>
    <row r="26" spans="1:9">
      <c r="A26" s="4">
        <v>45782</v>
      </c>
      <c r="B26" t="s">
        <v>59</v>
      </c>
      <c r="C26" t="s">
        <v>118</v>
      </c>
      <c r="D26" t="s">
        <v>14</v>
      </c>
      <c r="E26">
        <v>4</v>
      </c>
      <c r="F26" s="3">
        <v>60</v>
      </c>
      <c r="G26" s="3">
        <f>E26*F26</f>
        <v>240</v>
      </c>
      <c r="H26" t="s">
        <v>60</v>
      </c>
      <c r="I26" t="s">
        <v>16</v>
      </c>
    </row>
    <row r="27" spans="1:9">
      <c r="A27" s="4">
        <v>45782</v>
      </c>
      <c r="B27" t="s">
        <v>13</v>
      </c>
      <c r="C27" t="s">
        <v>118</v>
      </c>
      <c r="D27" t="s">
        <v>14</v>
      </c>
      <c r="E27">
        <v>8</v>
      </c>
      <c r="F27" s="3">
        <v>44</v>
      </c>
      <c r="G27" s="3">
        <f>E27*F27</f>
        <v>352</v>
      </c>
      <c r="H27" t="s">
        <v>39</v>
      </c>
      <c r="I27" t="s">
        <v>37</v>
      </c>
    </row>
    <row r="28" spans="1:9">
      <c r="A28" s="4">
        <v>45782</v>
      </c>
      <c r="B28" t="s">
        <v>9</v>
      </c>
      <c r="C28" t="s">
        <v>10</v>
      </c>
      <c r="D28" t="s">
        <v>119</v>
      </c>
      <c r="G28" s="3">
        <v>201</v>
      </c>
      <c r="H28" t="s">
        <v>11</v>
      </c>
      <c r="I28" t="s">
        <v>11</v>
      </c>
    </row>
    <row r="29" spans="1:9">
      <c r="A29" s="4">
        <v>45782</v>
      </c>
      <c r="B29" t="s">
        <v>25</v>
      </c>
      <c r="C29" t="s">
        <v>10</v>
      </c>
      <c r="D29" t="s">
        <v>119</v>
      </c>
      <c r="G29" s="3">
        <v>1215</v>
      </c>
      <c r="H29" t="s">
        <v>126</v>
      </c>
      <c r="I29" t="s">
        <v>11</v>
      </c>
    </row>
    <row r="30" spans="1:9">
      <c r="A30" s="4">
        <v>45782</v>
      </c>
      <c r="B30" t="s">
        <v>127</v>
      </c>
      <c r="C30" t="s">
        <v>10</v>
      </c>
      <c r="D30" t="s">
        <v>125</v>
      </c>
      <c r="E30">
        <v>100</v>
      </c>
      <c r="F30" s="3">
        <v>5</v>
      </c>
      <c r="G30" s="3">
        <f>F30*E30</f>
        <v>500</v>
      </c>
      <c r="H30" t="s">
        <v>11</v>
      </c>
      <c r="I30" t="s">
        <v>11</v>
      </c>
    </row>
    <row r="31" spans="1:9">
      <c r="A31" s="4">
        <v>45782</v>
      </c>
      <c r="B31" t="s">
        <v>34</v>
      </c>
      <c r="C31" t="s">
        <v>10</v>
      </c>
      <c r="D31" t="s">
        <v>119</v>
      </c>
      <c r="G31" s="3">
        <v>602</v>
      </c>
      <c r="H31" t="s">
        <v>11</v>
      </c>
      <c r="I31" t="s">
        <v>11</v>
      </c>
    </row>
    <row r="32" spans="1:9">
      <c r="A32" s="4">
        <v>45783</v>
      </c>
      <c r="B32" t="s">
        <v>66</v>
      </c>
      <c r="C32" t="s">
        <v>118</v>
      </c>
      <c r="D32" t="s">
        <v>14</v>
      </c>
      <c r="E32">
        <v>10</v>
      </c>
      <c r="F32" s="3">
        <v>25</v>
      </c>
      <c r="G32" s="3">
        <f>E32*F32</f>
        <v>250</v>
      </c>
      <c r="H32" t="s">
        <v>39</v>
      </c>
      <c r="I32" t="s">
        <v>40</v>
      </c>
    </row>
    <row r="33" spans="1:11">
      <c r="A33" s="4">
        <v>45783</v>
      </c>
      <c r="B33" t="s">
        <v>56</v>
      </c>
      <c r="C33" t="s">
        <v>118</v>
      </c>
      <c r="D33" t="s">
        <v>21</v>
      </c>
      <c r="G33" s="3">
        <v>2191</v>
      </c>
      <c r="H33" t="s">
        <v>60</v>
      </c>
      <c r="I33" t="s">
        <v>68</v>
      </c>
    </row>
    <row r="34" spans="1:11">
      <c r="A34" s="4">
        <v>45783</v>
      </c>
      <c r="B34" t="s">
        <v>49</v>
      </c>
      <c r="C34" t="s">
        <v>118</v>
      </c>
      <c r="D34" t="s">
        <v>14</v>
      </c>
      <c r="E34">
        <v>20</v>
      </c>
      <c r="F34" s="3">
        <v>89</v>
      </c>
      <c r="G34" s="3">
        <f>E34*F34</f>
        <v>1780</v>
      </c>
      <c r="H34" t="s">
        <v>30</v>
      </c>
      <c r="I34" t="s">
        <v>23</v>
      </c>
    </row>
    <row r="35" spans="1:11">
      <c r="A35" s="4">
        <v>45783</v>
      </c>
      <c r="B35" t="s">
        <v>66</v>
      </c>
      <c r="C35" t="s">
        <v>118</v>
      </c>
      <c r="D35" t="s">
        <v>14</v>
      </c>
      <c r="E35">
        <v>6</v>
      </c>
      <c r="F35" s="3">
        <v>25</v>
      </c>
      <c r="G35" s="3">
        <f>E35*F35</f>
        <v>150</v>
      </c>
      <c r="H35" t="s">
        <v>57</v>
      </c>
      <c r="I35" t="s">
        <v>23</v>
      </c>
    </row>
    <row r="36" spans="1:11">
      <c r="A36" s="4">
        <v>45783</v>
      </c>
      <c r="B36" t="s">
        <v>128</v>
      </c>
      <c r="C36" t="s">
        <v>10</v>
      </c>
      <c r="D36" t="s">
        <v>125</v>
      </c>
      <c r="E36">
        <v>10</v>
      </c>
      <c r="F36" s="3">
        <v>8</v>
      </c>
      <c r="G36" s="3">
        <f>F36*E36</f>
        <v>80</v>
      </c>
      <c r="H36" t="s">
        <v>11</v>
      </c>
      <c r="I36" t="s">
        <v>11</v>
      </c>
    </row>
    <row r="37" spans="1:11">
      <c r="A37" s="4">
        <v>45783</v>
      </c>
      <c r="B37" t="s">
        <v>72</v>
      </c>
      <c r="C37" t="s">
        <v>10</v>
      </c>
      <c r="D37" t="s">
        <v>117</v>
      </c>
      <c r="G37" s="3">
        <v>917</v>
      </c>
      <c r="H37" t="s">
        <v>11</v>
      </c>
      <c r="I37" t="s">
        <v>11</v>
      </c>
    </row>
    <row r="38" spans="1:11">
      <c r="A38" s="4">
        <v>45783</v>
      </c>
      <c r="B38" t="s">
        <v>74</v>
      </c>
      <c r="C38" t="s">
        <v>118</v>
      </c>
      <c r="D38" t="s">
        <v>21</v>
      </c>
      <c r="G38" s="3">
        <v>934</v>
      </c>
      <c r="H38" t="s">
        <v>60</v>
      </c>
      <c r="I38" t="s">
        <v>40</v>
      </c>
    </row>
    <row r="39" spans="1:11">
      <c r="A39" s="4">
        <v>45783</v>
      </c>
      <c r="B39" t="s">
        <v>29</v>
      </c>
      <c r="C39" t="s">
        <v>118</v>
      </c>
      <c r="D39" t="s">
        <v>21</v>
      </c>
      <c r="G39" s="3">
        <v>1456</v>
      </c>
      <c r="H39" t="s">
        <v>22</v>
      </c>
      <c r="I39" t="s">
        <v>40</v>
      </c>
      <c r="J39" s="14"/>
      <c r="K39" s="14"/>
    </row>
    <row r="40" spans="1:11">
      <c r="A40" s="4">
        <v>45783</v>
      </c>
      <c r="B40" t="s">
        <v>18</v>
      </c>
      <c r="C40" t="s">
        <v>10</v>
      </c>
      <c r="D40" t="s">
        <v>117</v>
      </c>
      <c r="G40" s="3">
        <v>883</v>
      </c>
      <c r="H40" t="s">
        <v>11</v>
      </c>
      <c r="I40" t="s">
        <v>11</v>
      </c>
    </row>
    <row r="41" spans="1:11">
      <c r="A41" s="4">
        <v>45783</v>
      </c>
      <c r="B41" t="s">
        <v>29</v>
      </c>
      <c r="C41" t="s">
        <v>118</v>
      </c>
      <c r="D41" t="s">
        <v>21</v>
      </c>
      <c r="G41" s="3">
        <v>2298</v>
      </c>
      <c r="H41" t="s">
        <v>57</v>
      </c>
      <c r="I41" t="s">
        <v>37</v>
      </c>
    </row>
    <row r="42" spans="1:11">
      <c r="A42" s="4">
        <v>45783</v>
      </c>
      <c r="B42" t="s">
        <v>129</v>
      </c>
      <c r="C42" t="s">
        <v>10</v>
      </c>
      <c r="D42" t="s">
        <v>117</v>
      </c>
      <c r="G42" s="3">
        <v>747</v>
      </c>
      <c r="H42" t="s">
        <v>11</v>
      </c>
      <c r="I42" t="s">
        <v>11</v>
      </c>
    </row>
    <row r="43" spans="1:11">
      <c r="A43" s="4">
        <v>45783</v>
      </c>
      <c r="B43" t="s">
        <v>74</v>
      </c>
      <c r="C43" t="s">
        <v>118</v>
      </c>
      <c r="D43" t="s">
        <v>21</v>
      </c>
      <c r="G43" s="3">
        <v>662</v>
      </c>
      <c r="H43" t="s">
        <v>39</v>
      </c>
      <c r="I43" t="s">
        <v>68</v>
      </c>
    </row>
    <row r="44" spans="1:11">
      <c r="A44" s="4">
        <v>45783</v>
      </c>
      <c r="B44" t="s">
        <v>20</v>
      </c>
      <c r="C44" t="s">
        <v>118</v>
      </c>
      <c r="D44" t="s">
        <v>21</v>
      </c>
      <c r="G44" s="3">
        <v>1662</v>
      </c>
      <c r="H44" t="s">
        <v>22</v>
      </c>
      <c r="I44" t="s">
        <v>16</v>
      </c>
    </row>
    <row r="45" spans="1:11">
      <c r="A45" s="4">
        <v>45783</v>
      </c>
      <c r="B45" t="s">
        <v>79</v>
      </c>
      <c r="C45" t="s">
        <v>118</v>
      </c>
      <c r="D45" t="s">
        <v>21</v>
      </c>
      <c r="G45" s="3">
        <v>2429</v>
      </c>
      <c r="H45" t="s">
        <v>60</v>
      </c>
      <c r="I45" t="s">
        <v>68</v>
      </c>
    </row>
    <row r="46" spans="1:11">
      <c r="A46" s="4">
        <v>45783</v>
      </c>
      <c r="B46" t="s">
        <v>43</v>
      </c>
      <c r="C46" t="s">
        <v>118</v>
      </c>
      <c r="D46" t="s">
        <v>14</v>
      </c>
      <c r="E46">
        <v>20</v>
      </c>
      <c r="F46" s="3">
        <v>10</v>
      </c>
      <c r="G46" s="3">
        <f>E46*F46</f>
        <v>200</v>
      </c>
      <c r="H46" t="s">
        <v>39</v>
      </c>
      <c r="I46" t="s">
        <v>16</v>
      </c>
    </row>
    <row r="47" spans="1:11">
      <c r="A47" s="4">
        <v>45783</v>
      </c>
      <c r="B47" t="s">
        <v>59</v>
      </c>
      <c r="C47" t="s">
        <v>118</v>
      </c>
      <c r="D47" t="s">
        <v>14</v>
      </c>
      <c r="E47">
        <v>5</v>
      </c>
      <c r="F47" s="3">
        <v>46</v>
      </c>
      <c r="G47" s="3">
        <f>E47*F47</f>
        <v>230</v>
      </c>
      <c r="H47" t="s">
        <v>39</v>
      </c>
      <c r="I47" t="s">
        <v>23</v>
      </c>
    </row>
    <row r="48" spans="1:11">
      <c r="A48" s="4">
        <v>45783</v>
      </c>
      <c r="B48" t="s">
        <v>27</v>
      </c>
      <c r="C48" t="s">
        <v>118</v>
      </c>
      <c r="D48" t="s">
        <v>14</v>
      </c>
      <c r="E48">
        <v>40</v>
      </c>
      <c r="F48" s="3">
        <v>2</v>
      </c>
      <c r="G48" s="3">
        <f>F48*E48</f>
        <v>80</v>
      </c>
      <c r="H48" t="s">
        <v>39</v>
      </c>
      <c r="I48" t="s">
        <v>16</v>
      </c>
    </row>
    <row r="49" spans="1:9">
      <c r="A49" s="4">
        <v>45783</v>
      </c>
      <c r="B49" t="s">
        <v>13</v>
      </c>
      <c r="C49" t="s">
        <v>118</v>
      </c>
      <c r="D49" t="s">
        <v>14</v>
      </c>
      <c r="E49">
        <v>7</v>
      </c>
      <c r="F49" s="3">
        <v>24</v>
      </c>
      <c r="G49" s="3">
        <f>E49*F49</f>
        <v>168</v>
      </c>
      <c r="H49" t="s">
        <v>15</v>
      </c>
      <c r="I49" t="s">
        <v>37</v>
      </c>
    </row>
    <row r="50" spans="1:9">
      <c r="A50" s="4">
        <v>45783</v>
      </c>
      <c r="B50" t="s">
        <v>66</v>
      </c>
      <c r="C50" t="s">
        <v>118</v>
      </c>
      <c r="D50" t="s">
        <v>14</v>
      </c>
      <c r="E50">
        <v>1</v>
      </c>
      <c r="F50" s="3">
        <v>25</v>
      </c>
      <c r="G50" s="3">
        <f>E50*F50</f>
        <v>25</v>
      </c>
      <c r="H50" t="s">
        <v>36</v>
      </c>
      <c r="I50" t="s">
        <v>37</v>
      </c>
    </row>
    <row r="51" spans="1:9">
      <c r="A51" s="4">
        <v>45783</v>
      </c>
      <c r="B51" t="s">
        <v>86</v>
      </c>
      <c r="C51" t="s">
        <v>118</v>
      </c>
      <c r="D51" t="s">
        <v>14</v>
      </c>
      <c r="E51">
        <v>7</v>
      </c>
      <c r="F51" s="3">
        <v>48</v>
      </c>
      <c r="G51" s="3">
        <f>E51*F51</f>
        <v>336</v>
      </c>
      <c r="H51" t="s">
        <v>15</v>
      </c>
      <c r="I51" t="s">
        <v>68</v>
      </c>
    </row>
    <row r="52" spans="1:9">
      <c r="A52" s="4">
        <v>45783</v>
      </c>
      <c r="B52" t="s">
        <v>43</v>
      </c>
      <c r="C52" t="s">
        <v>118</v>
      </c>
      <c r="D52" t="s">
        <v>14</v>
      </c>
      <c r="E52">
        <v>30</v>
      </c>
      <c r="F52" s="3">
        <v>10</v>
      </c>
      <c r="G52" s="3">
        <f>E52*F52</f>
        <v>300</v>
      </c>
      <c r="H52" t="s">
        <v>22</v>
      </c>
      <c r="I52" t="s">
        <v>23</v>
      </c>
    </row>
    <row r="53" spans="1:9">
      <c r="A53" s="4">
        <v>45784</v>
      </c>
      <c r="B53" t="s">
        <v>9</v>
      </c>
      <c r="C53" t="s">
        <v>10</v>
      </c>
      <c r="D53" t="s">
        <v>119</v>
      </c>
      <c r="G53" s="3">
        <v>106</v>
      </c>
      <c r="H53" t="s">
        <v>130</v>
      </c>
      <c r="I53" t="s">
        <v>11</v>
      </c>
    </row>
    <row r="54" spans="1:9">
      <c r="A54" s="4">
        <v>45784</v>
      </c>
      <c r="B54" t="s">
        <v>18</v>
      </c>
      <c r="C54" t="s">
        <v>10</v>
      </c>
      <c r="D54" t="s">
        <v>117</v>
      </c>
      <c r="G54" s="3">
        <v>1018</v>
      </c>
      <c r="H54" t="s">
        <v>11</v>
      </c>
      <c r="I54" t="s">
        <v>11</v>
      </c>
    </row>
    <row r="55" spans="1:9">
      <c r="A55" s="4">
        <v>45784</v>
      </c>
      <c r="B55" t="s">
        <v>13</v>
      </c>
      <c r="C55" t="s">
        <v>118</v>
      </c>
      <c r="D55" t="s">
        <v>14</v>
      </c>
      <c r="E55">
        <v>8</v>
      </c>
      <c r="F55" s="3">
        <v>64</v>
      </c>
      <c r="G55" s="3">
        <f>E55*F55</f>
        <v>512</v>
      </c>
      <c r="H55" t="s">
        <v>39</v>
      </c>
      <c r="I55" t="s">
        <v>16</v>
      </c>
    </row>
    <row r="56" spans="1:9">
      <c r="A56" s="4">
        <v>45784</v>
      </c>
      <c r="B56" t="s">
        <v>13</v>
      </c>
      <c r="C56" t="s">
        <v>118</v>
      </c>
      <c r="D56" t="s">
        <v>14</v>
      </c>
      <c r="E56">
        <v>10</v>
      </c>
      <c r="F56" s="3">
        <v>68</v>
      </c>
      <c r="G56" s="3">
        <f>E56*F56</f>
        <v>680</v>
      </c>
      <c r="H56" t="s">
        <v>22</v>
      </c>
      <c r="I56" t="s">
        <v>23</v>
      </c>
    </row>
    <row r="57" spans="1:9">
      <c r="A57" s="4">
        <v>45784</v>
      </c>
      <c r="B57" t="s">
        <v>79</v>
      </c>
      <c r="C57" t="s">
        <v>118</v>
      </c>
      <c r="D57" t="s">
        <v>21</v>
      </c>
      <c r="G57" s="3">
        <v>2735</v>
      </c>
      <c r="H57" t="s">
        <v>39</v>
      </c>
      <c r="I57" t="s">
        <v>16</v>
      </c>
    </row>
    <row r="58" spans="1:9">
      <c r="A58" s="4">
        <v>45784</v>
      </c>
      <c r="B58" t="s">
        <v>13</v>
      </c>
      <c r="C58" t="s">
        <v>118</v>
      </c>
      <c r="D58" t="s">
        <v>14</v>
      </c>
      <c r="E58">
        <v>4</v>
      </c>
      <c r="F58" s="3">
        <v>82</v>
      </c>
      <c r="G58" s="3">
        <f>E58*F58</f>
        <v>328</v>
      </c>
      <c r="H58" t="s">
        <v>36</v>
      </c>
      <c r="I58" t="s">
        <v>37</v>
      </c>
    </row>
    <row r="59" spans="1:9">
      <c r="A59" s="4">
        <v>45784</v>
      </c>
      <c r="B59" t="s">
        <v>66</v>
      </c>
      <c r="C59" t="s">
        <v>118</v>
      </c>
      <c r="D59" t="s">
        <v>14</v>
      </c>
      <c r="E59">
        <v>4</v>
      </c>
      <c r="F59" s="3">
        <v>25</v>
      </c>
      <c r="G59" s="3">
        <f>E59*F59</f>
        <v>100</v>
      </c>
      <c r="H59" t="s">
        <v>57</v>
      </c>
      <c r="I59" t="s">
        <v>16</v>
      </c>
    </row>
    <row r="60" spans="1:9">
      <c r="A60" s="4">
        <v>45785</v>
      </c>
      <c r="B60" t="s">
        <v>52</v>
      </c>
      <c r="C60" t="s">
        <v>10</v>
      </c>
      <c r="D60" t="s">
        <v>119</v>
      </c>
      <c r="G60" s="3">
        <v>1015</v>
      </c>
      <c r="H60" t="s">
        <v>11</v>
      </c>
      <c r="I60" t="s">
        <v>11</v>
      </c>
    </row>
    <row r="61" spans="1:9">
      <c r="A61" s="4">
        <v>45785</v>
      </c>
      <c r="B61" t="s">
        <v>66</v>
      </c>
      <c r="C61" t="s">
        <v>118</v>
      </c>
      <c r="D61" t="s">
        <v>14</v>
      </c>
      <c r="E61">
        <v>4</v>
      </c>
      <c r="F61" s="3">
        <v>25</v>
      </c>
      <c r="G61" s="3">
        <f>E61*F61</f>
        <v>100</v>
      </c>
      <c r="H61" t="s">
        <v>30</v>
      </c>
      <c r="I61" t="s">
        <v>40</v>
      </c>
    </row>
    <row r="62" spans="1:9">
      <c r="A62" s="4">
        <v>45785</v>
      </c>
      <c r="B62" t="s">
        <v>79</v>
      </c>
      <c r="C62" t="s">
        <v>118</v>
      </c>
      <c r="D62" t="s">
        <v>21</v>
      </c>
      <c r="G62" s="3">
        <v>2895</v>
      </c>
      <c r="H62" t="s">
        <v>57</v>
      </c>
      <c r="I62" t="s">
        <v>68</v>
      </c>
    </row>
    <row r="63" spans="1:9">
      <c r="A63" s="4">
        <v>45785</v>
      </c>
      <c r="B63" t="s">
        <v>9</v>
      </c>
      <c r="C63" t="s">
        <v>10</v>
      </c>
      <c r="D63" t="s">
        <v>119</v>
      </c>
      <c r="G63" s="3">
        <v>776</v>
      </c>
      <c r="H63" t="s">
        <v>130</v>
      </c>
      <c r="I63" t="s">
        <v>11</v>
      </c>
    </row>
    <row r="64" spans="1:9">
      <c r="A64" s="4">
        <v>45785</v>
      </c>
      <c r="B64" t="s">
        <v>9</v>
      </c>
      <c r="C64" t="s">
        <v>10</v>
      </c>
      <c r="D64" t="s">
        <v>119</v>
      </c>
      <c r="G64" s="3">
        <v>353</v>
      </c>
      <c r="H64" t="s">
        <v>131</v>
      </c>
      <c r="I64" t="s">
        <v>11</v>
      </c>
    </row>
    <row r="65" spans="1:9">
      <c r="A65" s="4">
        <v>45785</v>
      </c>
      <c r="B65" t="s">
        <v>25</v>
      </c>
      <c r="C65" t="s">
        <v>10</v>
      </c>
      <c r="D65" t="s">
        <v>119</v>
      </c>
      <c r="G65" s="3">
        <v>96</v>
      </c>
      <c r="H65" t="s">
        <v>132</v>
      </c>
      <c r="I65" t="s">
        <v>11</v>
      </c>
    </row>
    <row r="66" spans="1:9">
      <c r="A66" s="4">
        <v>45785</v>
      </c>
      <c r="B66" t="s">
        <v>20</v>
      </c>
      <c r="C66" t="s">
        <v>118</v>
      </c>
      <c r="D66" t="s">
        <v>21</v>
      </c>
      <c r="G66" s="3">
        <v>2667</v>
      </c>
      <c r="H66" t="s">
        <v>30</v>
      </c>
      <c r="I66" t="s">
        <v>37</v>
      </c>
    </row>
    <row r="67" spans="1:9">
      <c r="A67" s="4">
        <v>45785</v>
      </c>
      <c r="B67" t="s">
        <v>72</v>
      </c>
      <c r="C67" t="s">
        <v>10</v>
      </c>
      <c r="D67" t="s">
        <v>117</v>
      </c>
      <c r="G67" s="3">
        <v>151</v>
      </c>
      <c r="H67" t="s">
        <v>11</v>
      </c>
      <c r="I67" t="s">
        <v>11</v>
      </c>
    </row>
    <row r="68" spans="1:9">
      <c r="A68" s="4">
        <v>45785</v>
      </c>
      <c r="B68" t="s">
        <v>66</v>
      </c>
      <c r="C68" t="s">
        <v>118</v>
      </c>
      <c r="D68" t="s">
        <v>14</v>
      </c>
      <c r="E68">
        <v>6</v>
      </c>
      <c r="F68" s="3">
        <v>25</v>
      </c>
      <c r="G68" s="3">
        <f>E68*F68</f>
        <v>150</v>
      </c>
      <c r="H68" t="s">
        <v>57</v>
      </c>
      <c r="I68" t="s">
        <v>68</v>
      </c>
    </row>
    <row r="69" spans="1:9">
      <c r="A69" s="4">
        <v>45785</v>
      </c>
      <c r="B69" t="s">
        <v>79</v>
      </c>
      <c r="C69" t="s">
        <v>118</v>
      </c>
      <c r="D69" t="s">
        <v>21</v>
      </c>
      <c r="G69" s="3">
        <v>2338</v>
      </c>
      <c r="H69" t="s">
        <v>22</v>
      </c>
      <c r="I69" t="s">
        <v>40</v>
      </c>
    </row>
    <row r="70" spans="1:9">
      <c r="A70" s="4">
        <v>45789</v>
      </c>
      <c r="B70" t="s">
        <v>86</v>
      </c>
      <c r="C70" t="s">
        <v>118</v>
      </c>
      <c r="D70" t="s">
        <v>14</v>
      </c>
      <c r="E70">
        <v>7</v>
      </c>
      <c r="F70" s="3">
        <v>86</v>
      </c>
      <c r="G70" s="3">
        <f>E70*F70</f>
        <v>602</v>
      </c>
      <c r="H70" t="s">
        <v>15</v>
      </c>
      <c r="I70" t="s">
        <v>37</v>
      </c>
    </row>
    <row r="71" spans="1:9">
      <c r="A71" s="4">
        <v>45789</v>
      </c>
      <c r="B71" t="s">
        <v>27</v>
      </c>
      <c r="C71" t="s">
        <v>118</v>
      </c>
      <c r="D71" t="s">
        <v>14</v>
      </c>
      <c r="E71">
        <v>40</v>
      </c>
      <c r="F71" s="3">
        <v>2</v>
      </c>
      <c r="G71" s="3">
        <f>F71*E71</f>
        <v>80</v>
      </c>
      <c r="H71" t="s">
        <v>36</v>
      </c>
      <c r="I71" t="s">
        <v>68</v>
      </c>
    </row>
    <row r="72" spans="1:9">
      <c r="A72" s="4">
        <v>45789</v>
      </c>
      <c r="B72" t="s">
        <v>86</v>
      </c>
      <c r="C72" t="s">
        <v>118</v>
      </c>
      <c r="D72" t="s">
        <v>14</v>
      </c>
      <c r="E72">
        <v>2</v>
      </c>
      <c r="F72" s="3">
        <v>98</v>
      </c>
      <c r="G72" s="3">
        <f>E72*F72</f>
        <v>196</v>
      </c>
      <c r="H72" t="s">
        <v>22</v>
      </c>
      <c r="I72" t="s">
        <v>16</v>
      </c>
    </row>
    <row r="73" spans="1:9">
      <c r="A73" s="4">
        <v>45789</v>
      </c>
      <c r="B73" t="s">
        <v>29</v>
      </c>
      <c r="C73" t="s">
        <v>118</v>
      </c>
      <c r="D73" t="s">
        <v>21</v>
      </c>
      <c r="G73" s="3">
        <v>856</v>
      </c>
      <c r="H73" t="s">
        <v>22</v>
      </c>
      <c r="I73" t="s">
        <v>23</v>
      </c>
    </row>
    <row r="74" spans="1:9">
      <c r="A74" s="4">
        <v>45789</v>
      </c>
      <c r="B74" t="s">
        <v>34</v>
      </c>
      <c r="C74" t="s">
        <v>10</v>
      </c>
      <c r="D74" t="s">
        <v>119</v>
      </c>
      <c r="G74" s="3">
        <v>1486</v>
      </c>
      <c r="H74" t="s">
        <v>11</v>
      </c>
      <c r="I74" t="s">
        <v>11</v>
      </c>
    </row>
    <row r="75" spans="1:9">
      <c r="A75" s="4">
        <v>45790</v>
      </c>
      <c r="B75" t="s">
        <v>18</v>
      </c>
      <c r="C75" t="s">
        <v>10</v>
      </c>
      <c r="D75" t="s">
        <v>117</v>
      </c>
      <c r="G75" s="3">
        <v>1411</v>
      </c>
      <c r="H75" t="s">
        <v>11</v>
      </c>
      <c r="I75" t="s">
        <v>11</v>
      </c>
    </row>
    <row r="76" spans="1:9">
      <c r="A76" s="4">
        <v>45790</v>
      </c>
      <c r="B76" t="s">
        <v>9</v>
      </c>
      <c r="C76" t="s">
        <v>10</v>
      </c>
      <c r="D76" t="s">
        <v>119</v>
      </c>
      <c r="G76" s="3">
        <v>763</v>
      </c>
      <c r="H76" t="s">
        <v>131</v>
      </c>
      <c r="I76" t="s">
        <v>11</v>
      </c>
    </row>
    <row r="77" spans="1:9">
      <c r="A77" s="4">
        <v>45790</v>
      </c>
      <c r="B77" t="s">
        <v>34</v>
      </c>
      <c r="C77" t="s">
        <v>10</v>
      </c>
      <c r="D77" t="s">
        <v>119</v>
      </c>
      <c r="G77" s="3">
        <v>845</v>
      </c>
      <c r="H77" t="s">
        <v>11</v>
      </c>
      <c r="I77" t="s">
        <v>11</v>
      </c>
    </row>
    <row r="78" spans="1:9">
      <c r="A78" s="4">
        <v>45790</v>
      </c>
      <c r="B78" t="s">
        <v>74</v>
      </c>
      <c r="C78" t="s">
        <v>118</v>
      </c>
      <c r="D78" t="s">
        <v>21</v>
      </c>
      <c r="G78" s="3">
        <v>2034</v>
      </c>
      <c r="H78" t="s">
        <v>57</v>
      </c>
      <c r="I78" t="s">
        <v>40</v>
      </c>
    </row>
    <row r="79" spans="1:9">
      <c r="A79" s="4">
        <v>45790</v>
      </c>
      <c r="B79" t="s">
        <v>29</v>
      </c>
      <c r="C79" t="s">
        <v>118</v>
      </c>
      <c r="D79" t="s">
        <v>21</v>
      </c>
      <c r="G79" s="3">
        <v>970</v>
      </c>
      <c r="H79" t="s">
        <v>36</v>
      </c>
      <c r="I79" t="s">
        <v>37</v>
      </c>
    </row>
    <row r="80" spans="1:9">
      <c r="A80" s="4">
        <v>45790</v>
      </c>
      <c r="B80" t="s">
        <v>52</v>
      </c>
      <c r="C80" t="s">
        <v>10</v>
      </c>
      <c r="D80" t="s">
        <v>119</v>
      </c>
      <c r="G80" s="3">
        <v>52</v>
      </c>
      <c r="H80" t="s">
        <v>11</v>
      </c>
      <c r="I80" t="s">
        <v>11</v>
      </c>
    </row>
    <row r="81" spans="1:9">
      <c r="A81" s="4">
        <v>45790</v>
      </c>
      <c r="B81" t="s">
        <v>20</v>
      </c>
      <c r="C81" t="s">
        <v>118</v>
      </c>
      <c r="D81" t="s">
        <v>21</v>
      </c>
      <c r="G81" s="3">
        <v>2970</v>
      </c>
      <c r="H81" t="s">
        <v>39</v>
      </c>
      <c r="I81" t="s">
        <v>68</v>
      </c>
    </row>
    <row r="82" spans="1:9">
      <c r="A82" s="4">
        <v>45794</v>
      </c>
      <c r="B82" t="s">
        <v>34</v>
      </c>
      <c r="C82" t="s">
        <v>10</v>
      </c>
      <c r="D82" t="s">
        <v>119</v>
      </c>
      <c r="G82" s="3">
        <v>1315</v>
      </c>
      <c r="H82" t="s">
        <v>11</v>
      </c>
      <c r="I82" t="s">
        <v>11</v>
      </c>
    </row>
    <row r="83" spans="1:9">
      <c r="A83" s="4">
        <v>45794</v>
      </c>
      <c r="B83" t="s">
        <v>59</v>
      </c>
      <c r="C83" t="s">
        <v>118</v>
      </c>
      <c r="D83" t="s">
        <v>14</v>
      </c>
      <c r="E83">
        <v>1</v>
      </c>
      <c r="F83" s="3">
        <v>72</v>
      </c>
      <c r="G83" s="3">
        <f>E83*F83</f>
        <v>72</v>
      </c>
      <c r="H83" t="s">
        <v>60</v>
      </c>
      <c r="I83" t="s">
        <v>16</v>
      </c>
    </row>
    <row r="84" spans="1:9">
      <c r="A84" s="4">
        <v>45794</v>
      </c>
      <c r="B84" t="s">
        <v>74</v>
      </c>
      <c r="C84" t="s">
        <v>118</v>
      </c>
      <c r="D84" t="s">
        <v>21</v>
      </c>
      <c r="G84" s="3">
        <v>1307</v>
      </c>
      <c r="H84" t="s">
        <v>15</v>
      </c>
      <c r="I84" t="s">
        <v>68</v>
      </c>
    </row>
    <row r="85" spans="1:9">
      <c r="A85" s="4">
        <v>45794</v>
      </c>
      <c r="B85" t="s">
        <v>86</v>
      </c>
      <c r="C85" t="s">
        <v>118</v>
      </c>
      <c r="D85" t="s">
        <v>14</v>
      </c>
      <c r="E85">
        <v>8</v>
      </c>
      <c r="F85" s="3">
        <v>40</v>
      </c>
      <c r="G85" s="3">
        <f>E85*F85</f>
        <v>320</v>
      </c>
      <c r="H85" t="s">
        <v>22</v>
      </c>
      <c r="I85" t="s">
        <v>68</v>
      </c>
    </row>
    <row r="86" spans="1:9">
      <c r="A86" s="4">
        <v>45794</v>
      </c>
      <c r="B86" t="s">
        <v>66</v>
      </c>
      <c r="C86" t="s">
        <v>118</v>
      </c>
      <c r="D86" t="s">
        <v>14</v>
      </c>
      <c r="E86">
        <v>8</v>
      </c>
      <c r="F86" s="3">
        <v>25</v>
      </c>
      <c r="G86" s="3">
        <f>E86*F86</f>
        <v>200</v>
      </c>
      <c r="H86" t="s">
        <v>60</v>
      </c>
      <c r="I86" t="s">
        <v>40</v>
      </c>
    </row>
    <row r="87" spans="1:9">
      <c r="A87" s="4">
        <v>45794</v>
      </c>
      <c r="B87" t="s">
        <v>18</v>
      </c>
      <c r="C87" t="s">
        <v>10</v>
      </c>
      <c r="D87" t="s">
        <v>117</v>
      </c>
      <c r="G87" s="3">
        <v>1118</v>
      </c>
      <c r="H87" t="s">
        <v>11</v>
      </c>
      <c r="I87" t="s">
        <v>11</v>
      </c>
    </row>
    <row r="88" spans="1:9">
      <c r="A88" s="4">
        <v>45794</v>
      </c>
      <c r="B88" t="s">
        <v>66</v>
      </c>
      <c r="C88" t="s">
        <v>118</v>
      </c>
      <c r="D88" t="s">
        <v>14</v>
      </c>
      <c r="E88">
        <v>9</v>
      </c>
      <c r="F88" s="3">
        <v>25</v>
      </c>
      <c r="G88" s="3">
        <f>E88*F88</f>
        <v>225</v>
      </c>
      <c r="H88" t="s">
        <v>39</v>
      </c>
      <c r="I88" t="s">
        <v>68</v>
      </c>
    </row>
    <row r="89" spans="1:9">
      <c r="A89" s="4">
        <v>45795</v>
      </c>
      <c r="B89" t="s">
        <v>133</v>
      </c>
      <c r="C89" t="s">
        <v>10</v>
      </c>
      <c r="D89" t="s">
        <v>125</v>
      </c>
      <c r="E89">
        <v>40</v>
      </c>
      <c r="F89" s="3">
        <v>12</v>
      </c>
      <c r="G89" s="3">
        <f>F89*E89</f>
        <v>480</v>
      </c>
      <c r="H89" t="s">
        <v>11</v>
      </c>
      <c r="I89" t="s">
        <v>11</v>
      </c>
    </row>
    <row r="90" spans="1:9">
      <c r="A90" s="4">
        <v>45795</v>
      </c>
      <c r="B90" t="s">
        <v>34</v>
      </c>
      <c r="C90" t="s">
        <v>10</v>
      </c>
      <c r="D90" t="s">
        <v>119</v>
      </c>
      <c r="G90" s="3">
        <v>140</v>
      </c>
      <c r="H90" t="s">
        <v>11</v>
      </c>
      <c r="I90" t="s">
        <v>11</v>
      </c>
    </row>
    <row r="91" spans="1:9">
      <c r="A91" s="4">
        <v>45795</v>
      </c>
      <c r="B91" t="s">
        <v>59</v>
      </c>
      <c r="C91" t="s">
        <v>118</v>
      </c>
      <c r="D91" t="s">
        <v>14</v>
      </c>
      <c r="E91">
        <v>2</v>
      </c>
      <c r="F91" s="3">
        <v>97</v>
      </c>
      <c r="G91" s="3">
        <f>E91*F91</f>
        <v>194</v>
      </c>
      <c r="H91" t="s">
        <v>39</v>
      </c>
      <c r="I91" t="s">
        <v>40</v>
      </c>
    </row>
    <row r="92" spans="1:9">
      <c r="A92" s="4">
        <v>45795</v>
      </c>
      <c r="B92" t="s">
        <v>124</v>
      </c>
      <c r="C92" t="s">
        <v>10</v>
      </c>
      <c r="D92" t="s">
        <v>125</v>
      </c>
      <c r="E92">
        <v>50</v>
      </c>
      <c r="F92" s="3">
        <v>3</v>
      </c>
      <c r="G92" s="3">
        <f>F92*E92</f>
        <v>150</v>
      </c>
      <c r="H92" t="s">
        <v>11</v>
      </c>
      <c r="I92" t="s">
        <v>11</v>
      </c>
    </row>
    <row r="93" spans="1:9">
      <c r="A93" s="4">
        <v>45795</v>
      </c>
      <c r="B93" t="s">
        <v>79</v>
      </c>
      <c r="C93" t="s">
        <v>118</v>
      </c>
      <c r="D93" t="s">
        <v>21</v>
      </c>
      <c r="G93" s="3">
        <v>1007</v>
      </c>
      <c r="H93" t="s">
        <v>15</v>
      </c>
      <c r="I93" t="s">
        <v>23</v>
      </c>
    </row>
    <row r="94" spans="1:9">
      <c r="A94" s="4">
        <v>45795</v>
      </c>
      <c r="B94" t="s">
        <v>34</v>
      </c>
      <c r="C94" t="s">
        <v>10</v>
      </c>
      <c r="D94" t="s">
        <v>119</v>
      </c>
      <c r="G94" s="3">
        <v>61</v>
      </c>
      <c r="H94" t="s">
        <v>11</v>
      </c>
      <c r="I94" t="s">
        <v>11</v>
      </c>
    </row>
    <row r="95" spans="1:9">
      <c r="A95" s="4">
        <v>45795</v>
      </c>
      <c r="B95" t="s">
        <v>43</v>
      </c>
      <c r="C95" t="s">
        <v>118</v>
      </c>
      <c r="D95" t="s">
        <v>14</v>
      </c>
      <c r="E95">
        <v>30</v>
      </c>
      <c r="F95" s="3">
        <v>15</v>
      </c>
      <c r="G95" s="3">
        <f>E95*F95</f>
        <v>450</v>
      </c>
      <c r="H95" t="s">
        <v>30</v>
      </c>
      <c r="I95" t="s">
        <v>37</v>
      </c>
    </row>
    <row r="96" spans="1:9">
      <c r="A96" s="4">
        <v>45795</v>
      </c>
      <c r="B96" t="s">
        <v>34</v>
      </c>
      <c r="C96" t="s">
        <v>10</v>
      </c>
      <c r="D96" t="s">
        <v>119</v>
      </c>
      <c r="G96" s="3">
        <v>838</v>
      </c>
      <c r="H96" t="s">
        <v>11</v>
      </c>
      <c r="I96" t="s">
        <v>11</v>
      </c>
    </row>
    <row r="97" spans="1:9">
      <c r="A97" s="4">
        <v>45795</v>
      </c>
      <c r="B97" t="s">
        <v>56</v>
      </c>
      <c r="C97" t="s">
        <v>118</v>
      </c>
      <c r="D97" t="s">
        <v>21</v>
      </c>
      <c r="G97" s="3">
        <v>1384</v>
      </c>
      <c r="H97" t="s">
        <v>22</v>
      </c>
      <c r="I97" t="s">
        <v>37</v>
      </c>
    </row>
    <row r="98" spans="1:9">
      <c r="A98" s="4">
        <v>45795</v>
      </c>
      <c r="B98" t="s">
        <v>56</v>
      </c>
      <c r="C98" t="s">
        <v>118</v>
      </c>
      <c r="D98" t="s">
        <v>21</v>
      </c>
      <c r="G98" s="3">
        <v>1546</v>
      </c>
      <c r="H98" t="s">
        <v>30</v>
      </c>
      <c r="I98" t="s">
        <v>37</v>
      </c>
    </row>
    <row r="99" spans="1:9">
      <c r="A99" s="4">
        <v>45795</v>
      </c>
      <c r="B99" t="s">
        <v>56</v>
      </c>
      <c r="C99" t="s">
        <v>118</v>
      </c>
      <c r="D99" t="s">
        <v>21</v>
      </c>
      <c r="G99" s="3">
        <v>1586</v>
      </c>
      <c r="H99" t="s">
        <v>57</v>
      </c>
      <c r="I99" t="s">
        <v>37</v>
      </c>
    </row>
    <row r="100" spans="1:9">
      <c r="A100" s="4">
        <v>45795</v>
      </c>
      <c r="B100" t="s">
        <v>20</v>
      </c>
      <c r="C100" t="s">
        <v>118</v>
      </c>
      <c r="D100" t="s">
        <v>21</v>
      </c>
      <c r="G100" s="3">
        <v>2131</v>
      </c>
      <c r="H100" t="s">
        <v>30</v>
      </c>
      <c r="I100" t="s">
        <v>23</v>
      </c>
    </row>
    <row r="101" spans="1:9">
      <c r="A101" s="4">
        <v>45795</v>
      </c>
      <c r="B101" t="s">
        <v>18</v>
      </c>
      <c r="C101" t="s">
        <v>10</v>
      </c>
      <c r="D101" t="s">
        <v>117</v>
      </c>
      <c r="G101" s="3">
        <v>1364</v>
      </c>
      <c r="H101" t="s">
        <v>11</v>
      </c>
      <c r="I101" t="s">
        <v>11</v>
      </c>
    </row>
    <row r="102" spans="1:9">
      <c r="A102" s="4">
        <v>45798</v>
      </c>
      <c r="B102" t="s">
        <v>103</v>
      </c>
      <c r="C102" t="s">
        <v>118</v>
      </c>
      <c r="D102" t="s">
        <v>14</v>
      </c>
      <c r="E102">
        <v>40</v>
      </c>
      <c r="F102" s="3">
        <v>62</v>
      </c>
      <c r="G102" s="3">
        <f>E102*F102</f>
        <v>2480</v>
      </c>
      <c r="H102" t="s">
        <v>15</v>
      </c>
      <c r="I102" t="s">
        <v>37</v>
      </c>
    </row>
    <row r="103" spans="1:9">
      <c r="A103" s="4">
        <v>45798</v>
      </c>
      <c r="B103" t="s">
        <v>121</v>
      </c>
      <c r="C103" t="s">
        <v>10</v>
      </c>
      <c r="D103" t="s">
        <v>119</v>
      </c>
      <c r="G103" s="3">
        <v>794</v>
      </c>
      <c r="H103" t="s">
        <v>11</v>
      </c>
      <c r="I103" t="s">
        <v>11</v>
      </c>
    </row>
    <row r="104" spans="1:9">
      <c r="A104" s="4">
        <v>45798</v>
      </c>
      <c r="B104" t="s">
        <v>86</v>
      </c>
      <c r="C104" t="s">
        <v>118</v>
      </c>
      <c r="D104" t="s">
        <v>14</v>
      </c>
      <c r="E104">
        <v>3</v>
      </c>
      <c r="F104" s="3">
        <v>17</v>
      </c>
      <c r="G104" s="3">
        <f>E104*F104</f>
        <v>51</v>
      </c>
      <c r="H104" t="s">
        <v>39</v>
      </c>
      <c r="I104" t="s">
        <v>40</v>
      </c>
    </row>
    <row r="105" spans="1:9">
      <c r="A105" s="4">
        <v>45798</v>
      </c>
      <c r="B105" t="s">
        <v>49</v>
      </c>
      <c r="C105" t="s">
        <v>118</v>
      </c>
      <c r="D105" t="s">
        <v>14</v>
      </c>
      <c r="E105">
        <v>15</v>
      </c>
      <c r="F105" s="3">
        <v>89</v>
      </c>
      <c r="G105" s="3">
        <f>E105*F105</f>
        <v>1335</v>
      </c>
      <c r="H105" t="s">
        <v>36</v>
      </c>
      <c r="I105" t="s">
        <v>37</v>
      </c>
    </row>
    <row r="106" spans="1:9">
      <c r="A106" s="4">
        <v>45798</v>
      </c>
      <c r="B106" t="s">
        <v>34</v>
      </c>
      <c r="C106" t="s">
        <v>10</v>
      </c>
      <c r="D106" t="s">
        <v>10</v>
      </c>
      <c r="G106" s="3">
        <v>861</v>
      </c>
      <c r="H106" t="s">
        <v>11</v>
      </c>
      <c r="I106" t="s">
        <v>11</v>
      </c>
    </row>
    <row r="107" spans="1:9">
      <c r="A107" s="4">
        <v>45798</v>
      </c>
      <c r="B107" t="s">
        <v>18</v>
      </c>
      <c r="C107" t="s">
        <v>10</v>
      </c>
      <c r="D107" t="s">
        <v>119</v>
      </c>
      <c r="G107" s="3">
        <v>1147</v>
      </c>
      <c r="H107" t="s">
        <v>11</v>
      </c>
      <c r="I107" t="s">
        <v>11</v>
      </c>
    </row>
    <row r="108" spans="1:9">
      <c r="A108" s="4">
        <v>45798</v>
      </c>
      <c r="B108" t="s">
        <v>74</v>
      </c>
      <c r="C108" t="s">
        <v>118</v>
      </c>
      <c r="D108" t="s">
        <v>21</v>
      </c>
      <c r="G108" s="3">
        <v>1575</v>
      </c>
      <c r="H108" t="s">
        <v>30</v>
      </c>
      <c r="I108" t="s">
        <v>23</v>
      </c>
    </row>
    <row r="109" spans="1:9">
      <c r="A109" s="4">
        <v>45798</v>
      </c>
      <c r="B109" t="s">
        <v>56</v>
      </c>
      <c r="C109" t="s">
        <v>118</v>
      </c>
      <c r="D109" t="s">
        <v>21</v>
      </c>
      <c r="G109" s="3">
        <v>1220</v>
      </c>
      <c r="H109" t="s">
        <v>22</v>
      </c>
      <c r="I109" t="s">
        <v>16</v>
      </c>
    </row>
    <row r="110" spans="1:9">
      <c r="A110" s="4">
        <v>45798</v>
      </c>
      <c r="B110" t="s">
        <v>27</v>
      </c>
      <c r="C110" t="s">
        <v>118</v>
      </c>
      <c r="D110" t="s">
        <v>14</v>
      </c>
      <c r="E110">
        <v>40</v>
      </c>
      <c r="F110" s="3">
        <v>3</v>
      </c>
      <c r="G110" s="3">
        <f>F110*E110</f>
        <v>120</v>
      </c>
      <c r="H110" t="s">
        <v>11</v>
      </c>
      <c r="I110" t="s">
        <v>11</v>
      </c>
    </row>
    <row r="111" spans="1:9">
      <c r="A111" s="4">
        <v>45799</v>
      </c>
      <c r="B111" t="s">
        <v>20</v>
      </c>
      <c r="C111" t="s">
        <v>118</v>
      </c>
      <c r="D111" t="s">
        <v>21</v>
      </c>
      <c r="G111" s="3">
        <v>1009</v>
      </c>
      <c r="H111" t="s">
        <v>15</v>
      </c>
      <c r="I111" t="s">
        <v>68</v>
      </c>
    </row>
    <row r="112" spans="1:9">
      <c r="A112" s="4">
        <v>45799</v>
      </c>
      <c r="B112" t="s">
        <v>134</v>
      </c>
      <c r="C112" t="s">
        <v>10</v>
      </c>
      <c r="D112" t="s">
        <v>117</v>
      </c>
      <c r="G112" s="3">
        <v>824</v>
      </c>
      <c r="H112" t="s">
        <v>11</v>
      </c>
      <c r="I112" t="s">
        <v>11</v>
      </c>
    </row>
    <row r="113" spans="1:9">
      <c r="A113" s="4">
        <v>45799</v>
      </c>
      <c r="B113" t="s">
        <v>25</v>
      </c>
      <c r="C113" t="s">
        <v>10</v>
      </c>
      <c r="D113" t="s">
        <v>119</v>
      </c>
      <c r="G113" s="3">
        <v>167</v>
      </c>
      <c r="H113" t="s">
        <v>126</v>
      </c>
      <c r="I113" t="s">
        <v>11</v>
      </c>
    </row>
    <row r="114" spans="1:9">
      <c r="A114" s="4">
        <v>45799</v>
      </c>
      <c r="B114" t="s">
        <v>135</v>
      </c>
      <c r="C114" t="s">
        <v>10</v>
      </c>
      <c r="D114" t="s">
        <v>125</v>
      </c>
      <c r="E114">
        <v>50</v>
      </c>
      <c r="F114" s="3">
        <v>12</v>
      </c>
      <c r="G114" s="3">
        <f>F114*E114</f>
        <v>600</v>
      </c>
      <c r="H114" t="s">
        <v>11</v>
      </c>
      <c r="I114" t="s">
        <v>11</v>
      </c>
    </row>
    <row r="115" spans="1:9">
      <c r="A115" s="4">
        <v>45799</v>
      </c>
      <c r="B115" t="s">
        <v>13</v>
      </c>
      <c r="C115" t="s">
        <v>118</v>
      </c>
      <c r="D115" t="s">
        <v>14</v>
      </c>
      <c r="E115">
        <v>8</v>
      </c>
      <c r="F115" s="3">
        <v>72</v>
      </c>
      <c r="G115" s="3">
        <f>E115*F115</f>
        <v>576</v>
      </c>
      <c r="H115" t="s">
        <v>30</v>
      </c>
      <c r="I115" t="s">
        <v>40</v>
      </c>
    </row>
    <row r="116" spans="1:9">
      <c r="A116" s="4">
        <v>45800</v>
      </c>
      <c r="B116" t="s">
        <v>59</v>
      </c>
      <c r="C116" t="s">
        <v>118</v>
      </c>
      <c r="D116" t="s">
        <v>14</v>
      </c>
      <c r="E116">
        <v>10</v>
      </c>
      <c r="F116" s="3">
        <v>39</v>
      </c>
      <c r="G116" s="3">
        <f>E116*F116</f>
        <v>390</v>
      </c>
      <c r="H116" t="s">
        <v>36</v>
      </c>
      <c r="I116" t="s">
        <v>23</v>
      </c>
    </row>
    <row r="117" spans="1:9">
      <c r="A117" s="4">
        <v>45800</v>
      </c>
      <c r="B117" t="s">
        <v>56</v>
      </c>
      <c r="C117" t="s">
        <v>118</v>
      </c>
      <c r="D117" t="s">
        <v>21</v>
      </c>
      <c r="G117" s="3">
        <v>577</v>
      </c>
      <c r="H117" t="s">
        <v>15</v>
      </c>
      <c r="I117" t="s">
        <v>40</v>
      </c>
    </row>
    <row r="118" spans="1:9">
      <c r="A118" s="4">
        <v>45800</v>
      </c>
      <c r="B118" t="s">
        <v>136</v>
      </c>
      <c r="C118" t="s">
        <v>10</v>
      </c>
      <c r="D118" t="s">
        <v>117</v>
      </c>
      <c r="G118" s="3">
        <v>699</v>
      </c>
      <c r="H118" t="s">
        <v>11</v>
      </c>
      <c r="I118" t="s">
        <v>11</v>
      </c>
    </row>
    <row r="119" spans="1:9">
      <c r="A119" s="4">
        <v>45800</v>
      </c>
      <c r="B119" t="s">
        <v>66</v>
      </c>
      <c r="C119" t="s">
        <v>118</v>
      </c>
      <c r="D119" t="s">
        <v>14</v>
      </c>
      <c r="E119">
        <v>9</v>
      </c>
      <c r="F119" s="3">
        <v>25</v>
      </c>
      <c r="G119" s="3">
        <f>E119*F119</f>
        <v>225</v>
      </c>
      <c r="H119" t="s">
        <v>15</v>
      </c>
      <c r="I119" t="s">
        <v>40</v>
      </c>
    </row>
    <row r="120" spans="1:9">
      <c r="A120" s="4">
        <v>45800</v>
      </c>
      <c r="B120" t="s">
        <v>29</v>
      </c>
      <c r="C120" t="s">
        <v>118</v>
      </c>
      <c r="D120" t="s">
        <v>21</v>
      </c>
      <c r="G120" s="3">
        <v>2138</v>
      </c>
      <c r="H120" t="s">
        <v>15</v>
      </c>
      <c r="I120" t="s">
        <v>37</v>
      </c>
    </row>
    <row r="121" spans="1:9">
      <c r="A121" s="4">
        <v>45800</v>
      </c>
      <c r="B121" t="s">
        <v>18</v>
      </c>
      <c r="C121" t="s">
        <v>10</v>
      </c>
      <c r="D121" t="s">
        <v>117</v>
      </c>
      <c r="G121" s="3">
        <v>1209</v>
      </c>
      <c r="H121" t="s">
        <v>11</v>
      </c>
      <c r="I121" t="s">
        <v>11</v>
      </c>
    </row>
    <row r="122" spans="1:9">
      <c r="A122" s="4">
        <v>45800</v>
      </c>
      <c r="B122" t="s">
        <v>135</v>
      </c>
      <c r="C122" t="s">
        <v>10</v>
      </c>
      <c r="D122" t="s">
        <v>125</v>
      </c>
      <c r="E122">
        <v>50</v>
      </c>
      <c r="F122" s="3">
        <v>10</v>
      </c>
      <c r="G122" s="3">
        <f>F122*E122</f>
        <v>500</v>
      </c>
      <c r="H122" t="s">
        <v>11</v>
      </c>
      <c r="I122" t="s">
        <v>11</v>
      </c>
    </row>
    <row r="123" spans="1:9">
      <c r="A123" s="4">
        <v>45800</v>
      </c>
      <c r="B123" t="s">
        <v>52</v>
      </c>
      <c r="C123" t="s">
        <v>10</v>
      </c>
      <c r="D123" t="s">
        <v>119</v>
      </c>
      <c r="G123" s="3">
        <v>1302</v>
      </c>
      <c r="H123" t="s">
        <v>11</v>
      </c>
      <c r="I123" t="s">
        <v>11</v>
      </c>
    </row>
    <row r="124" spans="1:9">
      <c r="A124" s="4">
        <v>45800</v>
      </c>
      <c r="B124" t="s">
        <v>137</v>
      </c>
      <c r="C124" t="s">
        <v>10</v>
      </c>
      <c r="D124" t="s">
        <v>125</v>
      </c>
      <c r="E124">
        <v>20</v>
      </c>
      <c r="F124" s="3">
        <v>5</v>
      </c>
      <c r="G124" s="3">
        <f>F124*E124</f>
        <v>100</v>
      </c>
      <c r="H124" t="s">
        <v>11</v>
      </c>
      <c r="I124" t="s">
        <v>11</v>
      </c>
    </row>
    <row r="125" spans="1:9">
      <c r="A125" s="4">
        <v>45800</v>
      </c>
      <c r="B125" t="s">
        <v>103</v>
      </c>
      <c r="C125" t="s">
        <v>118</v>
      </c>
      <c r="D125" t="s">
        <v>14</v>
      </c>
      <c r="E125">
        <v>30</v>
      </c>
      <c r="F125" s="3">
        <v>25</v>
      </c>
      <c r="G125" s="3">
        <f>E125*F125</f>
        <v>750</v>
      </c>
      <c r="H125" t="s">
        <v>60</v>
      </c>
      <c r="I125" t="s">
        <v>40</v>
      </c>
    </row>
    <row r="126" spans="1:9">
      <c r="A126" s="4">
        <v>45800</v>
      </c>
      <c r="B126" t="s">
        <v>66</v>
      </c>
      <c r="C126" t="s">
        <v>118</v>
      </c>
      <c r="D126" t="s">
        <v>14</v>
      </c>
      <c r="E126">
        <v>3</v>
      </c>
      <c r="F126" s="3">
        <v>25</v>
      </c>
      <c r="G126" s="3">
        <f>E126*F126</f>
        <v>75</v>
      </c>
      <c r="H126" t="s">
        <v>39</v>
      </c>
      <c r="I126" t="s">
        <v>37</v>
      </c>
    </row>
    <row r="127" spans="1:9">
      <c r="A127" s="4">
        <v>45801</v>
      </c>
      <c r="B127" t="s">
        <v>72</v>
      </c>
      <c r="C127" t="s">
        <v>10</v>
      </c>
      <c r="D127" t="s">
        <v>117</v>
      </c>
      <c r="G127" s="3">
        <v>919</v>
      </c>
      <c r="H127" t="s">
        <v>11</v>
      </c>
      <c r="I127" t="s">
        <v>11</v>
      </c>
    </row>
    <row r="128" spans="1:9">
      <c r="A128" s="4">
        <v>45801</v>
      </c>
      <c r="B128" t="s">
        <v>43</v>
      </c>
      <c r="C128" t="s">
        <v>118</v>
      </c>
      <c r="D128" t="s">
        <v>14</v>
      </c>
      <c r="E128">
        <v>30</v>
      </c>
      <c r="F128" s="3">
        <v>17</v>
      </c>
      <c r="G128" s="3">
        <f>E128*F128</f>
        <v>510</v>
      </c>
      <c r="H128" t="s">
        <v>22</v>
      </c>
      <c r="I128" t="s">
        <v>40</v>
      </c>
    </row>
    <row r="129" spans="1:9">
      <c r="A129" s="4">
        <v>45801</v>
      </c>
      <c r="B129" t="s">
        <v>34</v>
      </c>
      <c r="C129" t="s">
        <v>10</v>
      </c>
      <c r="D129" t="s">
        <v>119</v>
      </c>
      <c r="G129" s="3">
        <v>792</v>
      </c>
      <c r="H129" t="s">
        <v>11</v>
      </c>
      <c r="I129" t="s">
        <v>11</v>
      </c>
    </row>
    <row r="130" spans="1:9">
      <c r="A130" s="4">
        <v>45801</v>
      </c>
      <c r="B130" t="s">
        <v>18</v>
      </c>
      <c r="C130" t="s">
        <v>10</v>
      </c>
      <c r="D130" t="s">
        <v>117</v>
      </c>
      <c r="G130" s="3">
        <v>535</v>
      </c>
      <c r="H130" t="s">
        <v>11</v>
      </c>
      <c r="I130" t="s">
        <v>11</v>
      </c>
    </row>
    <row r="131" spans="1:9">
      <c r="A131" s="4">
        <v>45801</v>
      </c>
      <c r="B131" t="s">
        <v>29</v>
      </c>
      <c r="C131" t="s">
        <v>118</v>
      </c>
      <c r="D131" t="s">
        <v>21</v>
      </c>
      <c r="G131" s="3">
        <v>555</v>
      </c>
      <c r="H131" t="s">
        <v>39</v>
      </c>
      <c r="I131" t="s">
        <v>68</v>
      </c>
    </row>
    <row r="132" spans="1:9">
      <c r="A132" s="4">
        <v>45801</v>
      </c>
      <c r="B132" t="s">
        <v>29</v>
      </c>
      <c r="C132" t="s">
        <v>118</v>
      </c>
      <c r="D132" t="s">
        <v>21</v>
      </c>
      <c r="G132" s="3">
        <v>726</v>
      </c>
      <c r="H132" t="s">
        <v>36</v>
      </c>
      <c r="I132" t="s">
        <v>37</v>
      </c>
    </row>
    <row r="133" spans="1:9">
      <c r="A133" s="4">
        <v>45801</v>
      </c>
      <c r="B133" t="s">
        <v>49</v>
      </c>
      <c r="C133" t="s">
        <v>118</v>
      </c>
      <c r="D133" t="s">
        <v>14</v>
      </c>
      <c r="E133">
        <v>5</v>
      </c>
      <c r="F133" s="3">
        <v>89</v>
      </c>
      <c r="G133" s="3">
        <f>E133*F133</f>
        <v>445</v>
      </c>
      <c r="H133" t="s">
        <v>36</v>
      </c>
      <c r="I133" t="s">
        <v>68</v>
      </c>
    </row>
    <row r="134" spans="1:9">
      <c r="A134" s="4">
        <v>45804</v>
      </c>
      <c r="B134" t="s">
        <v>25</v>
      </c>
      <c r="C134" t="s">
        <v>10</v>
      </c>
      <c r="D134" t="s">
        <v>119</v>
      </c>
      <c r="G134" s="3">
        <v>1483</v>
      </c>
      <c r="H134" t="s">
        <v>132</v>
      </c>
      <c r="I134" t="s">
        <v>11</v>
      </c>
    </row>
    <row r="135" spans="1:9">
      <c r="A135" s="4">
        <v>45804</v>
      </c>
      <c r="B135" t="s">
        <v>20</v>
      </c>
      <c r="C135" t="s">
        <v>118</v>
      </c>
      <c r="D135" t="s">
        <v>21</v>
      </c>
      <c r="G135" s="3">
        <v>747</v>
      </c>
      <c r="H135" t="s">
        <v>57</v>
      </c>
      <c r="I135" t="s">
        <v>68</v>
      </c>
    </row>
    <row r="136" spans="1:9">
      <c r="A136" s="4">
        <v>45804</v>
      </c>
      <c r="B136" t="s">
        <v>66</v>
      </c>
      <c r="C136" t="s">
        <v>118</v>
      </c>
      <c r="D136" t="s">
        <v>14</v>
      </c>
      <c r="E136">
        <v>5</v>
      </c>
      <c r="F136" s="3">
        <v>25</v>
      </c>
      <c r="G136" s="3">
        <f>E136*F136</f>
        <v>125</v>
      </c>
      <c r="H136" t="s">
        <v>57</v>
      </c>
      <c r="I136" t="s">
        <v>16</v>
      </c>
    </row>
    <row r="137" spans="1:9">
      <c r="A137" s="4">
        <v>45804</v>
      </c>
      <c r="B137" t="s">
        <v>29</v>
      </c>
      <c r="C137" t="s">
        <v>118</v>
      </c>
      <c r="D137" t="s">
        <v>21</v>
      </c>
      <c r="G137" s="3">
        <v>1367</v>
      </c>
      <c r="H137" t="s">
        <v>36</v>
      </c>
      <c r="I137" t="s">
        <v>40</v>
      </c>
    </row>
    <row r="138" spans="1:9">
      <c r="A138" s="4">
        <v>45804</v>
      </c>
      <c r="B138" t="s">
        <v>79</v>
      </c>
      <c r="C138" t="s">
        <v>118</v>
      </c>
      <c r="D138" t="s">
        <v>21</v>
      </c>
      <c r="G138" s="3">
        <v>1633</v>
      </c>
      <c r="H138" t="s">
        <v>22</v>
      </c>
      <c r="I138" t="s">
        <v>40</v>
      </c>
    </row>
    <row r="139" spans="1:9">
      <c r="A139" s="4">
        <v>45804</v>
      </c>
      <c r="B139" t="s">
        <v>56</v>
      </c>
      <c r="C139" t="s">
        <v>118</v>
      </c>
      <c r="D139" t="s">
        <v>21</v>
      </c>
      <c r="G139" s="3">
        <v>1461</v>
      </c>
      <c r="H139" t="s">
        <v>39</v>
      </c>
      <c r="I139" t="s">
        <v>68</v>
      </c>
    </row>
    <row r="140" spans="1:9">
      <c r="A140" s="4">
        <v>45805</v>
      </c>
      <c r="B140" t="s">
        <v>74</v>
      </c>
      <c r="C140" t="s">
        <v>118</v>
      </c>
      <c r="D140" t="s">
        <v>21</v>
      </c>
      <c r="G140" s="3">
        <v>2559</v>
      </c>
      <c r="H140" t="s">
        <v>22</v>
      </c>
      <c r="I140" t="s">
        <v>37</v>
      </c>
    </row>
    <row r="141" spans="1:9">
      <c r="A141" s="4">
        <v>45806</v>
      </c>
      <c r="B141" t="s">
        <v>59</v>
      </c>
      <c r="C141" t="s">
        <v>118</v>
      </c>
      <c r="D141" t="s">
        <v>14</v>
      </c>
      <c r="E141">
        <v>1</v>
      </c>
      <c r="F141" s="3">
        <v>47</v>
      </c>
      <c r="G141" s="3">
        <f>E141*F141</f>
        <v>47</v>
      </c>
      <c r="H141" t="s">
        <v>22</v>
      </c>
      <c r="I141" t="s">
        <v>16</v>
      </c>
    </row>
    <row r="142" spans="1:9">
      <c r="A142" s="4">
        <v>45806</v>
      </c>
      <c r="B142" t="s">
        <v>52</v>
      </c>
      <c r="C142" t="s">
        <v>10</v>
      </c>
      <c r="D142" t="s">
        <v>119</v>
      </c>
      <c r="G142" s="3">
        <v>655</v>
      </c>
      <c r="H142" t="s">
        <v>11</v>
      </c>
      <c r="I142" t="s">
        <v>11</v>
      </c>
    </row>
    <row r="143" spans="1:9">
      <c r="A143" s="4">
        <v>45806</v>
      </c>
      <c r="B143" t="s">
        <v>29</v>
      </c>
      <c r="C143" t="s">
        <v>118</v>
      </c>
      <c r="D143" t="s">
        <v>21</v>
      </c>
      <c r="G143" s="3">
        <v>886</v>
      </c>
      <c r="H143" t="s">
        <v>15</v>
      </c>
      <c r="I143" t="s">
        <v>37</v>
      </c>
    </row>
    <row r="144" spans="1:9">
      <c r="A144" s="4">
        <v>45806</v>
      </c>
      <c r="B144" t="s">
        <v>59</v>
      </c>
      <c r="C144" t="s">
        <v>118</v>
      </c>
      <c r="D144" t="s">
        <v>14</v>
      </c>
      <c r="E144">
        <v>1</v>
      </c>
      <c r="F144" s="3">
        <v>64</v>
      </c>
      <c r="G144" s="3">
        <f>E144*F144</f>
        <v>64</v>
      </c>
      <c r="H144" t="s">
        <v>60</v>
      </c>
      <c r="I144" t="s">
        <v>68</v>
      </c>
    </row>
    <row r="145" spans="1:9">
      <c r="A145" s="4">
        <v>45806</v>
      </c>
      <c r="B145" t="s">
        <v>103</v>
      </c>
      <c r="C145" t="s">
        <v>118</v>
      </c>
      <c r="D145" t="s">
        <v>14</v>
      </c>
      <c r="E145">
        <v>30</v>
      </c>
      <c r="F145" s="3">
        <v>42</v>
      </c>
      <c r="G145" s="3">
        <f>E145*F145</f>
        <v>1260</v>
      </c>
      <c r="H145" t="s">
        <v>39</v>
      </c>
      <c r="I145" t="s">
        <v>37</v>
      </c>
    </row>
    <row r="146" spans="1:9">
      <c r="A146" s="4">
        <v>45806</v>
      </c>
      <c r="B146" t="s">
        <v>138</v>
      </c>
      <c r="C146" t="s">
        <v>10</v>
      </c>
      <c r="D146" t="s">
        <v>125</v>
      </c>
      <c r="E146">
        <v>1000</v>
      </c>
      <c r="F146" s="3">
        <v>1.5</v>
      </c>
      <c r="G146" s="3">
        <f>F146*E146</f>
        <v>1500</v>
      </c>
      <c r="H146" t="s">
        <v>11</v>
      </c>
      <c r="I146" t="s">
        <v>11</v>
      </c>
    </row>
    <row r="147" spans="1:9">
      <c r="A147" s="4">
        <v>45807</v>
      </c>
      <c r="B147" t="s">
        <v>27</v>
      </c>
      <c r="C147" t="s">
        <v>118</v>
      </c>
      <c r="D147" t="s">
        <v>14</v>
      </c>
      <c r="E147">
        <v>25</v>
      </c>
      <c r="F147" s="3">
        <v>2</v>
      </c>
      <c r="G147" s="3">
        <f>F147*E147</f>
        <v>50</v>
      </c>
      <c r="H147" t="s">
        <v>57</v>
      </c>
      <c r="I147" t="s">
        <v>40</v>
      </c>
    </row>
    <row r="148" spans="1:9">
      <c r="A148" s="4">
        <v>45807</v>
      </c>
      <c r="B148" t="s">
        <v>66</v>
      </c>
      <c r="C148" t="s">
        <v>118</v>
      </c>
      <c r="D148" t="s">
        <v>14</v>
      </c>
      <c r="E148">
        <v>8</v>
      </c>
      <c r="F148" s="3">
        <v>25</v>
      </c>
      <c r="G148" s="3">
        <f>E148*F148</f>
        <v>200</v>
      </c>
      <c r="H148" t="s">
        <v>30</v>
      </c>
      <c r="I148" t="s">
        <v>37</v>
      </c>
    </row>
    <row r="149" spans="1:9">
      <c r="A149" s="4">
        <v>45807</v>
      </c>
      <c r="B149" t="s">
        <v>25</v>
      </c>
      <c r="C149" t="s">
        <v>10</v>
      </c>
      <c r="D149" t="s">
        <v>119</v>
      </c>
      <c r="G149" s="3">
        <v>1328</v>
      </c>
      <c r="H149" t="s">
        <v>120</v>
      </c>
      <c r="I149" t="s">
        <v>11</v>
      </c>
    </row>
    <row r="150" spans="1:9">
      <c r="A150" s="4">
        <v>45807</v>
      </c>
      <c r="B150" t="s">
        <v>121</v>
      </c>
      <c r="C150" t="s">
        <v>10</v>
      </c>
      <c r="D150" t="s">
        <v>119</v>
      </c>
      <c r="G150" s="3">
        <v>351</v>
      </c>
      <c r="H150" t="s">
        <v>122</v>
      </c>
      <c r="I150" t="s">
        <v>11</v>
      </c>
    </row>
    <row r="151" spans="1:9">
      <c r="A151" s="4">
        <v>45807</v>
      </c>
      <c r="B151" t="s">
        <v>13</v>
      </c>
      <c r="C151" t="s">
        <v>118</v>
      </c>
      <c r="D151" t="s">
        <v>14</v>
      </c>
      <c r="E151">
        <v>4</v>
      </c>
      <c r="F151" s="3">
        <v>93</v>
      </c>
      <c r="G151" s="3">
        <f>E151*F151</f>
        <v>372</v>
      </c>
      <c r="H151" t="s">
        <v>15</v>
      </c>
      <c r="I151" t="s">
        <v>16</v>
      </c>
    </row>
  </sheetData>
  <autoFilter ref="A1:I151" xr:uid="{00000000-0001-0000-0000-000000000000}">
    <sortState xmlns:xlrd2="http://schemas.microsoft.com/office/spreadsheetml/2017/richdata2" ref="A2:I151">
      <sortCondition ref="A1:A1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F221-89BE-48B4-A650-679D25FBB949}">
  <dimension ref="A1:D6"/>
  <sheetViews>
    <sheetView tabSelected="1" workbookViewId="0">
      <selection activeCell="E18" sqref="E18"/>
    </sheetView>
  </sheetViews>
  <sheetFormatPr defaultRowHeight="15"/>
  <cols>
    <col min="1" max="1" width="5.28515625" customWidth="1"/>
    <col min="2" max="2" width="11.28515625" customWidth="1"/>
    <col min="3" max="3" width="16.28515625" customWidth="1"/>
    <col min="4" max="4" width="57.28515625" customWidth="1"/>
  </cols>
  <sheetData>
    <row r="1" spans="1:4">
      <c r="A1" s="5" t="s">
        <v>139</v>
      </c>
      <c r="B1" s="5" t="s">
        <v>2</v>
      </c>
      <c r="C1" s="5" t="s">
        <v>116</v>
      </c>
      <c r="D1" s="5" t="s">
        <v>140</v>
      </c>
    </row>
    <row r="2" spans="1:4">
      <c r="A2">
        <v>1</v>
      </c>
      <c r="B2" t="s">
        <v>10</v>
      </c>
      <c r="C2" t="s">
        <v>117</v>
      </c>
      <c r="D2" t="s">
        <v>141</v>
      </c>
    </row>
    <row r="3" spans="1:4">
      <c r="A3">
        <v>2</v>
      </c>
      <c r="B3" t="s">
        <v>10</v>
      </c>
      <c r="C3" t="s">
        <v>119</v>
      </c>
      <c r="D3" t="s">
        <v>142</v>
      </c>
    </row>
    <row r="4" spans="1:4">
      <c r="A4">
        <v>3</v>
      </c>
      <c r="B4" t="s">
        <v>10</v>
      </c>
      <c r="C4" t="s">
        <v>125</v>
      </c>
      <c r="D4" t="s">
        <v>143</v>
      </c>
    </row>
    <row r="5" spans="1:4">
      <c r="A5">
        <v>4</v>
      </c>
      <c r="B5" t="s">
        <v>118</v>
      </c>
      <c r="C5" t="s">
        <v>21</v>
      </c>
      <c r="D5" t="s">
        <v>144</v>
      </c>
    </row>
    <row r="6" spans="1:4">
      <c r="A6">
        <v>5</v>
      </c>
      <c r="B6" t="s">
        <v>118</v>
      </c>
      <c r="C6" t="s">
        <v>14</v>
      </c>
      <c r="D6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C14E-2DFD-4A07-B91A-98F3FB28CE5A}">
  <dimension ref="A1:L286"/>
  <sheetViews>
    <sheetView topLeftCell="A282" workbookViewId="0">
      <selection activeCell="J299" sqref="J299"/>
    </sheetView>
  </sheetViews>
  <sheetFormatPr defaultRowHeight="15"/>
  <cols>
    <col min="2" max="2" width="22.42578125" customWidth="1"/>
    <col min="3" max="3" width="11.5703125" bestFit="1" customWidth="1"/>
    <col min="11" max="11" width="17.85546875" customWidth="1"/>
    <col min="12" max="12" width="17.28515625" customWidth="1"/>
  </cols>
  <sheetData>
    <row r="1" spans="1:10" ht="31.5">
      <c r="A1" s="6" t="s">
        <v>146</v>
      </c>
    </row>
    <row r="2" spans="1:10">
      <c r="A2" t="s">
        <v>147</v>
      </c>
    </row>
    <row r="5" spans="1:10" ht="18.75">
      <c r="A5" s="7" t="s">
        <v>148</v>
      </c>
    </row>
    <row r="6" spans="1:10">
      <c r="A6" t="e" cm="1" vm="1">
        <f t="array" ref="A6">_xlfn._xlws.PY(0,1,Transactions!A1:I151)</f>
        <v>#VALUE!</v>
      </c>
    </row>
    <row r="8" spans="1:10" ht="15.75">
      <c r="A8" s="8" t="s">
        <v>149</v>
      </c>
    </row>
    <row r="9" spans="1:10">
      <c r="A9" t="str" cm="1">
        <f t="array" ref="A9:J20">IFERROR(_FV(A6,"arrayPreview"),_xlfn._DF_Python_str(A6))</f>
        <v/>
      </c>
      <c r="B9" t="str">
        <v>Date</v>
      </c>
      <c r="C9" t="str">
        <v>Item</v>
      </c>
      <c r="D9" t="str">
        <v>Type</v>
      </c>
      <c r="E9" t="str">
        <v>Subtype</v>
      </c>
      <c r="F9" t="str">
        <v>Quantity</v>
      </c>
      <c r="G9" t="str">
        <v>Per Unit Price</v>
      </c>
      <c r="H9" t="str">
        <v>Total Price</v>
      </c>
      <c r="I9" t="str">
        <v>Client Name</v>
      </c>
      <c r="J9" t="str">
        <v>Client City</v>
      </c>
    </row>
    <row r="10" spans="1:10">
      <c r="A10">
        <v>0</v>
      </c>
      <c r="B10" vm="2">
        <v>45778</v>
      </c>
      <c r="C10" t="str">
        <v>Travel and Entertainment</v>
      </c>
      <c r="D10" t="str">
        <v>Expense</v>
      </c>
      <c r="E10" t="str">
        <v>Administrative</v>
      </c>
      <c r="F10" vm="3">
        <v>0</v>
      </c>
      <c r="G10" vm="3">
        <v>0</v>
      </c>
      <c r="H10">
        <v>139</v>
      </c>
      <c r="I10" t="str">
        <v>N/A</v>
      </c>
      <c r="J10" t="str">
        <v>N/A</v>
      </c>
    </row>
    <row r="11" spans="1:10">
      <c r="A11">
        <v>1</v>
      </c>
      <c r="B11" vm="2">
        <v>45778</v>
      </c>
      <c r="C11" t="str">
        <v>Birthday</v>
      </c>
      <c r="D11" t="str">
        <v>Income</v>
      </c>
      <c r="E11" t="str">
        <v>Service</v>
      </c>
      <c r="F11" vm="3">
        <v>0</v>
      </c>
      <c r="G11" vm="3">
        <v>0</v>
      </c>
      <c r="H11">
        <v>2700</v>
      </c>
      <c r="I11" t="str">
        <v>John Smith</v>
      </c>
      <c r="J11" t="str">
        <v>Frederick</v>
      </c>
    </row>
    <row r="12" spans="1:10">
      <c r="A12">
        <v>2</v>
      </c>
      <c r="B12" vm="2">
        <v>45778</v>
      </c>
      <c r="C12" t="str">
        <v>Travel and Entertainment</v>
      </c>
      <c r="D12" t="str">
        <v>Expense</v>
      </c>
      <c r="E12" t="str">
        <v>Administrative</v>
      </c>
      <c r="F12" vm="3">
        <v>0</v>
      </c>
      <c r="G12" vm="3">
        <v>0</v>
      </c>
      <c r="H12">
        <v>1050</v>
      </c>
      <c r="I12" t="str">
        <v>N/A</v>
      </c>
      <c r="J12" t="str">
        <v>N/A</v>
      </c>
    </row>
    <row r="13" spans="1:10">
      <c r="A13">
        <v>3</v>
      </c>
      <c r="B13" vm="2">
        <v>45778</v>
      </c>
      <c r="C13" t="str">
        <v>Vendor Payment - Flowers</v>
      </c>
      <c r="D13" t="str">
        <v>Expense</v>
      </c>
      <c r="E13" t="str">
        <v>Event cost</v>
      </c>
      <c r="F13" vm="3">
        <v>0</v>
      </c>
      <c r="G13" vm="3">
        <v>0</v>
      </c>
      <c r="H13">
        <v>338</v>
      </c>
      <c r="I13" t="str">
        <v>AAA Party Rentals</v>
      </c>
      <c r="J13" t="str">
        <v>N/A</v>
      </c>
    </row>
    <row r="14" spans="1:10">
      <c r="A14">
        <v>4</v>
      </c>
      <c r="B14" vm="2">
        <v>45778</v>
      </c>
      <c r="C14" t="str">
        <v>Balloons</v>
      </c>
      <c r="D14" t="str">
        <v>Income</v>
      </c>
      <c r="E14" t="str">
        <v>Product</v>
      </c>
      <c r="F14">
        <v>40</v>
      </c>
      <c r="G14">
        <v>2</v>
      </c>
      <c r="H14">
        <v>80</v>
      </c>
      <c r="I14" t="str">
        <v>John Smith</v>
      </c>
      <c r="J14" t="str">
        <v>Towson</v>
      </c>
    </row>
    <row r="15" spans="1:10">
      <c r="A15" t="str">
        <v>...</v>
      </c>
      <c r="B15" t="str">
        <v>...</v>
      </c>
      <c r="C15" t="str">
        <v>...</v>
      </c>
      <c r="D15" t="str">
        <v>...</v>
      </c>
      <c r="E15" t="str">
        <v>...</v>
      </c>
      <c r="F15" t="str">
        <v>...</v>
      </c>
      <c r="G15" t="str">
        <v>...</v>
      </c>
      <c r="H15" t="str">
        <v>...</v>
      </c>
      <c r="I15" t="str">
        <v>...</v>
      </c>
      <c r="J15" t="str">
        <v>...</v>
      </c>
    </row>
    <row r="16" spans="1:10">
      <c r="A16">
        <v>145</v>
      </c>
      <c r="B16" vm="4">
        <v>45807</v>
      </c>
      <c r="C16" t="str">
        <v>Balloons</v>
      </c>
      <c r="D16" t="str">
        <v>Income</v>
      </c>
      <c r="E16" t="str">
        <v>Product</v>
      </c>
      <c r="F16">
        <v>25</v>
      </c>
      <c r="G16">
        <v>2</v>
      </c>
      <c r="H16">
        <v>50</v>
      </c>
      <c r="I16" t="str">
        <v>Emily Clark</v>
      </c>
      <c r="J16" t="str">
        <v>Baltimore</v>
      </c>
    </row>
    <row r="17" spans="1:10">
      <c r="A17">
        <v>146</v>
      </c>
      <c r="B17" vm="4">
        <v>45807</v>
      </c>
      <c r="C17" t="str">
        <v>Curtains</v>
      </c>
      <c r="D17" t="str">
        <v>Income</v>
      </c>
      <c r="E17" t="str">
        <v>Product</v>
      </c>
      <c r="F17">
        <v>8</v>
      </c>
      <c r="G17">
        <v>25</v>
      </c>
      <c r="H17">
        <v>200</v>
      </c>
      <c r="I17" t="str">
        <v>Michael Lee</v>
      </c>
      <c r="J17" t="str">
        <v>Annapolis</v>
      </c>
    </row>
    <row r="18" spans="1:10">
      <c r="A18">
        <v>147</v>
      </c>
      <c r="B18" vm="4">
        <v>45807</v>
      </c>
      <c r="C18" t="str">
        <v>Vendor Payment - Flowers</v>
      </c>
      <c r="D18" t="str">
        <v>Expense</v>
      </c>
      <c r="E18" t="str">
        <v>Event cost</v>
      </c>
      <c r="F18" vm="3">
        <v>0</v>
      </c>
      <c r="G18" vm="3">
        <v>0</v>
      </c>
      <c r="H18">
        <v>1328</v>
      </c>
      <c r="I18" t="str">
        <v>AAA Party Rentals</v>
      </c>
      <c r="J18" t="str">
        <v>N/A</v>
      </c>
    </row>
    <row r="19" spans="1:10">
      <c r="A19">
        <v>148</v>
      </c>
      <c r="B19" vm="4">
        <v>45807</v>
      </c>
      <c r="C19" t="str">
        <v>Vendor Payment - Catering</v>
      </c>
      <c r="D19" t="str">
        <v>Expense</v>
      </c>
      <c r="E19" t="str">
        <v>Event cost</v>
      </c>
      <c r="F19" vm="3">
        <v>0</v>
      </c>
      <c r="G19" vm="3">
        <v>0</v>
      </c>
      <c r="H19">
        <v>351</v>
      </c>
      <c r="I19" t="str">
        <v>Better Catering</v>
      </c>
      <c r="J19" t="str">
        <v>N/A</v>
      </c>
    </row>
    <row r="20" spans="1:10">
      <c r="A20">
        <v>149</v>
      </c>
      <c r="B20" vm="4">
        <v>45807</v>
      </c>
      <c r="C20" t="str">
        <v>Lights</v>
      </c>
      <c r="D20" t="str">
        <v>Income</v>
      </c>
      <c r="E20" t="str">
        <v>Product</v>
      </c>
      <c r="F20">
        <v>4</v>
      </c>
      <c r="G20">
        <v>93</v>
      </c>
      <c r="H20">
        <v>372</v>
      </c>
      <c r="I20" t="str">
        <v>James Wilson</v>
      </c>
      <c r="J20" t="str">
        <v>Towson</v>
      </c>
    </row>
    <row r="23" spans="1:10" ht="18.75">
      <c r="A23" s="7" t="s">
        <v>150</v>
      </c>
    </row>
    <row r="24" spans="1:10">
      <c r="A24" t="e" cm="1" vm="5">
        <f t="array" ref="A24">_xlfn._xlws.PY(1,1)</f>
        <v>#VALUE!</v>
      </c>
    </row>
    <row r="26" spans="1:10" ht="15.75">
      <c r="A26" s="8" t="s">
        <v>149</v>
      </c>
    </row>
    <row r="27" spans="1:10">
      <c r="A27" t="str" cm="1">
        <f t="array" ref="A27:A28">IFERROR(_FV(A24,"arrayPreview"),_xlfn._DF_Python_str(A24))</f>
        <v>&lt;DataFrame&gt;</v>
      </c>
    </row>
    <row r="28" spans="1:10">
      <c r="A28" t="str">
        <v>&lt;DataFrame&gt;</v>
      </c>
    </row>
    <row r="31" spans="1:10" ht="18.75">
      <c r="A31" s="7" t="s">
        <v>151</v>
      </c>
    </row>
    <row r="32" spans="1:10">
      <c r="A32" t="e" cm="1" vm="6">
        <f t="array" ref="A32">_xlfn._xlws.PY(2,1)</f>
        <v>#VALUE!</v>
      </c>
    </row>
    <row r="34" spans="1:10" ht="15.75">
      <c r="A34" s="8" t="s">
        <v>149</v>
      </c>
    </row>
    <row r="35" spans="1:10">
      <c r="A35" t="str" cm="1">
        <f t="array" ref="A35:J46">IFERROR(_FV(A32,"arrayPreview"),_xlfn._DF_Python_str(A32))</f>
        <v/>
      </c>
      <c r="B35" t="str">
        <v>Date</v>
      </c>
      <c r="C35" t="str">
        <v>Item</v>
      </c>
      <c r="D35" t="str">
        <v>Type</v>
      </c>
      <c r="E35" t="str">
        <v>Subtype</v>
      </c>
      <c r="F35" t="str">
        <v>Quantity</v>
      </c>
      <c r="G35" t="str">
        <v>Per Unit Price</v>
      </c>
      <c r="H35" t="str">
        <v>Total Price</v>
      </c>
      <c r="I35" t="str">
        <v>Client Name</v>
      </c>
      <c r="J35" t="str">
        <v>Client City</v>
      </c>
    </row>
    <row r="36" spans="1:10">
      <c r="A36">
        <v>4</v>
      </c>
      <c r="B36" vm="2">
        <v>45778</v>
      </c>
      <c r="C36" t="str">
        <v>Balloons</v>
      </c>
      <c r="D36" t="str">
        <v>Income</v>
      </c>
      <c r="E36" t="str">
        <v>Product</v>
      </c>
      <c r="F36">
        <v>40</v>
      </c>
      <c r="G36">
        <v>2</v>
      </c>
      <c r="H36">
        <v>80</v>
      </c>
      <c r="I36" t="str">
        <v>John Smith</v>
      </c>
      <c r="J36" t="str">
        <v>Towson</v>
      </c>
    </row>
    <row r="37" spans="1:10">
      <c r="A37">
        <v>11</v>
      </c>
      <c r="B37" vm="7">
        <v>45779</v>
      </c>
      <c r="C37" t="str">
        <v>Chairs</v>
      </c>
      <c r="D37" t="str">
        <v>Income</v>
      </c>
      <c r="E37" t="str">
        <v>Product</v>
      </c>
      <c r="F37">
        <v>20</v>
      </c>
      <c r="G37">
        <v>10</v>
      </c>
      <c r="H37">
        <v>200</v>
      </c>
      <c r="I37" t="str">
        <v>James Wilson</v>
      </c>
      <c r="J37" t="str">
        <v>Annapolis</v>
      </c>
    </row>
    <row r="38" spans="1:10">
      <c r="A38">
        <v>17</v>
      </c>
      <c r="B38" vm="8">
        <v>45781</v>
      </c>
      <c r="C38" t="str">
        <v>Decoration pieces</v>
      </c>
      <c r="D38" t="str">
        <v>Income</v>
      </c>
      <c r="E38" t="str">
        <v>Product</v>
      </c>
      <c r="F38">
        <v>20</v>
      </c>
      <c r="G38">
        <v>89</v>
      </c>
      <c r="H38">
        <v>1780</v>
      </c>
      <c r="I38" t="str">
        <v>David Kim</v>
      </c>
      <c r="J38" t="str">
        <v>Towson</v>
      </c>
    </row>
    <row r="39" spans="1:10">
      <c r="A39">
        <v>20</v>
      </c>
      <c r="B39" vm="8">
        <v>45781</v>
      </c>
      <c r="C39" t="str">
        <v>Balloons</v>
      </c>
      <c r="D39" t="str">
        <v>Income</v>
      </c>
      <c r="E39" t="str">
        <v>Product</v>
      </c>
      <c r="F39">
        <v>80</v>
      </c>
      <c r="G39">
        <v>2</v>
      </c>
      <c r="H39">
        <v>160</v>
      </c>
      <c r="I39" t="str">
        <v>James Wilson</v>
      </c>
      <c r="J39" t="str">
        <v>Towson</v>
      </c>
    </row>
    <row r="40" spans="1:10">
      <c r="A40">
        <v>24</v>
      </c>
      <c r="B40" vm="9">
        <v>45782</v>
      </c>
      <c r="C40" t="str">
        <v>Tables</v>
      </c>
      <c r="D40" t="str">
        <v>Income</v>
      </c>
      <c r="E40" t="str">
        <v>Product</v>
      </c>
      <c r="F40">
        <v>4</v>
      </c>
      <c r="G40">
        <v>60</v>
      </c>
      <c r="H40">
        <v>240</v>
      </c>
      <c r="I40" t="str">
        <v>Sarah Johnson</v>
      </c>
      <c r="J40" t="str">
        <v>Towson</v>
      </c>
    </row>
    <row r="41" spans="1:10">
      <c r="A41" t="str">
        <v>...</v>
      </c>
      <c r="B41" t="str">
        <v>...</v>
      </c>
      <c r="C41" t="str">
        <v>...</v>
      </c>
      <c r="D41" t="str">
        <v>...</v>
      </c>
      <c r="E41" t="str">
        <v>...</v>
      </c>
      <c r="F41" t="str">
        <v>...</v>
      </c>
      <c r="G41" t="str">
        <v>...</v>
      </c>
      <c r="H41" t="str">
        <v>...</v>
      </c>
      <c r="I41" t="str">
        <v>...</v>
      </c>
      <c r="J41" t="str">
        <v>...</v>
      </c>
    </row>
    <row r="42" spans="1:10">
      <c r="A42">
        <v>142</v>
      </c>
      <c r="B42" vm="10">
        <v>45806</v>
      </c>
      <c r="C42" t="str">
        <v>Tables</v>
      </c>
      <c r="D42" t="str">
        <v>Income</v>
      </c>
      <c r="E42" t="str">
        <v>Product</v>
      </c>
      <c r="F42">
        <v>1</v>
      </c>
      <c r="G42">
        <v>64</v>
      </c>
      <c r="H42">
        <v>64</v>
      </c>
      <c r="I42" t="str">
        <v>Sarah Johnson</v>
      </c>
      <c r="J42" t="str">
        <v>Rockville</v>
      </c>
    </row>
    <row r="43" spans="1:10">
      <c r="A43">
        <v>143</v>
      </c>
      <c r="B43" vm="10">
        <v>45806</v>
      </c>
      <c r="C43" t="str">
        <v>Flowers</v>
      </c>
      <c r="D43" t="str">
        <v>Income</v>
      </c>
      <c r="E43" t="str">
        <v>Product</v>
      </c>
      <c r="F43">
        <v>30</v>
      </c>
      <c r="G43">
        <v>42</v>
      </c>
      <c r="H43">
        <v>1260</v>
      </c>
      <c r="I43" t="str">
        <v>David Kim</v>
      </c>
      <c r="J43" t="str">
        <v>Annapolis</v>
      </c>
    </row>
    <row r="44" spans="1:10">
      <c r="A44">
        <v>145</v>
      </c>
      <c r="B44" vm="4">
        <v>45807</v>
      </c>
      <c r="C44" t="str">
        <v>Balloons</v>
      </c>
      <c r="D44" t="str">
        <v>Income</v>
      </c>
      <c r="E44" t="str">
        <v>Product</v>
      </c>
      <c r="F44">
        <v>25</v>
      </c>
      <c r="G44">
        <v>2</v>
      </c>
      <c r="H44">
        <v>50</v>
      </c>
      <c r="I44" t="str">
        <v>Emily Clark</v>
      </c>
      <c r="J44" t="str">
        <v>Baltimore</v>
      </c>
    </row>
    <row r="45" spans="1:10">
      <c r="A45">
        <v>146</v>
      </c>
      <c r="B45" vm="4">
        <v>45807</v>
      </c>
      <c r="C45" t="str">
        <v>Curtains</v>
      </c>
      <c r="D45" t="str">
        <v>Income</v>
      </c>
      <c r="E45" t="str">
        <v>Product</v>
      </c>
      <c r="F45">
        <v>8</v>
      </c>
      <c r="G45">
        <v>25</v>
      </c>
      <c r="H45">
        <v>200</v>
      </c>
      <c r="I45" t="str">
        <v>Michael Lee</v>
      </c>
      <c r="J45" t="str">
        <v>Annapolis</v>
      </c>
    </row>
    <row r="46" spans="1:10">
      <c r="A46">
        <v>149</v>
      </c>
      <c r="B46" vm="4">
        <v>45807</v>
      </c>
      <c r="C46" t="str">
        <v>Lights</v>
      </c>
      <c r="D46" t="str">
        <v>Income</v>
      </c>
      <c r="E46" t="str">
        <v>Product</v>
      </c>
      <c r="F46">
        <v>4</v>
      </c>
      <c r="G46">
        <v>93</v>
      </c>
      <c r="H46">
        <v>372</v>
      </c>
      <c r="I46" t="str">
        <v>James Wilson</v>
      </c>
      <c r="J46" t="str">
        <v>Towson</v>
      </c>
    </row>
    <row r="49" spans="1:10" ht="18.75">
      <c r="A49" s="7" t="s">
        <v>152</v>
      </c>
    </row>
    <row r="50" spans="1:10">
      <c r="A50" t="e" cm="1" vm="11">
        <f t="array" ref="A50">_xlfn._xlws.PY(3,1)</f>
        <v>#VALUE!</v>
      </c>
    </row>
    <row r="52" spans="1:10" ht="15.75">
      <c r="A52" s="8" t="s">
        <v>149</v>
      </c>
    </row>
    <row r="53" spans="1:10">
      <c r="A53" t="str" cm="1">
        <f t="array" ref="A53:J64">IFERROR(_FV(A50,"arrayPreview"),_xlfn._DF_Python_str(A50))</f>
        <v/>
      </c>
      <c r="B53" t="str">
        <v>Date</v>
      </c>
      <c r="C53" t="str">
        <v>Item</v>
      </c>
      <c r="D53" t="str">
        <v>Type</v>
      </c>
      <c r="E53" t="str">
        <v>Subtype</v>
      </c>
      <c r="F53" t="str">
        <v>Quantity</v>
      </c>
      <c r="G53" t="str">
        <v>Per Unit Price</v>
      </c>
      <c r="H53" t="str">
        <v>Total Price</v>
      </c>
      <c r="I53" t="str">
        <v>Client Name</v>
      </c>
      <c r="J53" t="str">
        <v>Client City</v>
      </c>
    </row>
    <row r="54" spans="1:10">
      <c r="A54">
        <v>1</v>
      </c>
      <c r="B54" vm="2">
        <v>45778</v>
      </c>
      <c r="C54" t="str">
        <v>Birthday</v>
      </c>
      <c r="D54" t="str">
        <v>Income</v>
      </c>
      <c r="E54" t="str">
        <v>Service</v>
      </c>
      <c r="F54" vm="3">
        <v>0</v>
      </c>
      <c r="G54" vm="3">
        <v>0</v>
      </c>
      <c r="H54">
        <v>2700</v>
      </c>
      <c r="I54" t="str">
        <v>John Smith</v>
      </c>
      <c r="J54" t="str">
        <v>Frederick</v>
      </c>
    </row>
    <row r="55" spans="1:10">
      <c r="A55">
        <v>5</v>
      </c>
      <c r="B55" vm="2">
        <v>45778</v>
      </c>
      <c r="C55" t="str">
        <v>Corporate Event</v>
      </c>
      <c r="D55" t="str">
        <v>Income</v>
      </c>
      <c r="E55" t="str">
        <v>Service</v>
      </c>
      <c r="F55" vm="3">
        <v>0</v>
      </c>
      <c r="G55" vm="3">
        <v>0</v>
      </c>
      <c r="H55">
        <v>805</v>
      </c>
      <c r="I55" t="str">
        <v>Michael Lee</v>
      </c>
      <c r="J55" t="str">
        <v>Towson</v>
      </c>
    </row>
    <row r="56" spans="1:10">
      <c r="A56">
        <v>8</v>
      </c>
      <c r="B56" vm="7">
        <v>45779</v>
      </c>
      <c r="C56" t="str">
        <v>Birthday</v>
      </c>
      <c r="D56" t="str">
        <v>Income</v>
      </c>
      <c r="E56" t="str">
        <v>Service</v>
      </c>
      <c r="F56" vm="3">
        <v>0</v>
      </c>
      <c r="G56" vm="3">
        <v>0</v>
      </c>
      <c r="H56">
        <v>1416</v>
      </c>
      <c r="I56" t="str">
        <v>Emma Davis</v>
      </c>
      <c r="J56" t="str">
        <v>Annapolis</v>
      </c>
    </row>
    <row r="57" spans="1:10">
      <c r="A57">
        <v>9</v>
      </c>
      <c r="B57" vm="7">
        <v>45779</v>
      </c>
      <c r="C57" t="str">
        <v>Birthday</v>
      </c>
      <c r="D57" t="str">
        <v>Income</v>
      </c>
      <c r="E57" t="str">
        <v>Service</v>
      </c>
      <c r="F57" vm="3">
        <v>0</v>
      </c>
      <c r="G57" vm="3">
        <v>0</v>
      </c>
      <c r="H57">
        <v>2050</v>
      </c>
      <c r="I57" t="str">
        <v>David Kim</v>
      </c>
      <c r="J57" t="str">
        <v>Baltimore</v>
      </c>
    </row>
    <row r="58" spans="1:10">
      <c r="A58">
        <v>12</v>
      </c>
      <c r="B58" vm="12">
        <v>45780</v>
      </c>
      <c r="C58" t="str">
        <v>Birthday</v>
      </c>
      <c r="D58" t="str">
        <v>Income</v>
      </c>
      <c r="E58" t="str">
        <v>Service</v>
      </c>
      <c r="F58" vm="3">
        <v>0</v>
      </c>
      <c r="G58" vm="3">
        <v>0</v>
      </c>
      <c r="H58">
        <v>1166</v>
      </c>
      <c r="I58" t="str">
        <v>Emma Davis</v>
      </c>
      <c r="J58" t="str">
        <v>Annapolis</v>
      </c>
    </row>
    <row r="59" spans="1:10">
      <c r="A59" t="str">
        <v>...</v>
      </c>
      <c r="B59" t="str">
        <v>...</v>
      </c>
      <c r="C59" t="str">
        <v>...</v>
      </c>
      <c r="D59" t="str">
        <v>...</v>
      </c>
      <c r="E59" t="str">
        <v>...</v>
      </c>
      <c r="F59" t="str">
        <v>...</v>
      </c>
      <c r="G59" t="str">
        <v>...</v>
      </c>
      <c r="H59" t="str">
        <v>...</v>
      </c>
      <c r="I59" t="str">
        <v>...</v>
      </c>
      <c r="J59" t="str">
        <v>...</v>
      </c>
    </row>
    <row r="60" spans="1:10">
      <c r="A60">
        <v>135</v>
      </c>
      <c r="B60" vm="13">
        <v>45804</v>
      </c>
      <c r="C60" t="str">
        <v>Corporate Event</v>
      </c>
      <c r="D60" t="str">
        <v>Income</v>
      </c>
      <c r="E60" t="str">
        <v>Service</v>
      </c>
      <c r="F60" vm="3">
        <v>0</v>
      </c>
      <c r="G60" vm="3">
        <v>0</v>
      </c>
      <c r="H60">
        <v>1367</v>
      </c>
      <c r="I60" t="str">
        <v>Emma Davis</v>
      </c>
      <c r="J60" t="str">
        <v>Baltimore</v>
      </c>
    </row>
    <row r="61" spans="1:10">
      <c r="A61">
        <v>136</v>
      </c>
      <c r="B61" vm="13">
        <v>45804</v>
      </c>
      <c r="C61" t="str">
        <v>Wedding</v>
      </c>
      <c r="D61" t="str">
        <v>Income</v>
      </c>
      <c r="E61" t="str">
        <v>Service</v>
      </c>
      <c r="F61" vm="3">
        <v>0</v>
      </c>
      <c r="G61" vm="3">
        <v>0</v>
      </c>
      <c r="H61">
        <v>1633</v>
      </c>
      <c r="I61" t="str">
        <v>John Smith</v>
      </c>
      <c r="J61" t="str">
        <v>Baltimore</v>
      </c>
    </row>
    <row r="62" spans="1:10">
      <c r="A62">
        <v>137</v>
      </c>
      <c r="B62" vm="13">
        <v>45804</v>
      </c>
      <c r="C62" t="str">
        <v>Anniversary</v>
      </c>
      <c r="D62" t="str">
        <v>Income</v>
      </c>
      <c r="E62" t="str">
        <v>Service</v>
      </c>
      <c r="F62" vm="3">
        <v>0</v>
      </c>
      <c r="G62" vm="3">
        <v>0</v>
      </c>
      <c r="H62">
        <v>1461</v>
      </c>
      <c r="I62" t="str">
        <v>David Kim</v>
      </c>
      <c r="J62" t="str">
        <v>Rockville</v>
      </c>
    </row>
    <row r="63" spans="1:10">
      <c r="A63">
        <v>138</v>
      </c>
      <c r="B63" vm="14">
        <v>45805</v>
      </c>
      <c r="C63" t="str">
        <v>Baby Shower</v>
      </c>
      <c r="D63" t="str">
        <v>Income</v>
      </c>
      <c r="E63" t="str">
        <v>Service</v>
      </c>
      <c r="F63" vm="3">
        <v>0</v>
      </c>
      <c r="G63" vm="3">
        <v>0</v>
      </c>
      <c r="H63">
        <v>2559</v>
      </c>
      <c r="I63" t="str">
        <v>John Smith</v>
      </c>
      <c r="J63" t="str">
        <v>Annapolis</v>
      </c>
    </row>
    <row r="64" spans="1:10">
      <c r="A64">
        <v>141</v>
      </c>
      <c r="B64" vm="10">
        <v>45806</v>
      </c>
      <c r="C64" t="str">
        <v>Corporate Event</v>
      </c>
      <c r="D64" t="str">
        <v>Income</v>
      </c>
      <c r="E64" t="str">
        <v>Service</v>
      </c>
      <c r="F64" vm="3">
        <v>0</v>
      </c>
      <c r="G64" vm="3">
        <v>0</v>
      </c>
      <c r="H64">
        <v>886</v>
      </c>
      <c r="I64" t="str">
        <v>James Wilson</v>
      </c>
      <c r="J64" t="str">
        <v>Annapolis</v>
      </c>
    </row>
    <row r="67" spans="1:12" ht="18.75">
      <c r="A67" s="7" t="s">
        <v>153</v>
      </c>
    </row>
    <row r="68" spans="1:12">
      <c r="A68" t="e" cm="1" vm="15">
        <f t="array" ref="A68">_xlfn._xlws.PY(4,1)</f>
        <v>#VALUE!</v>
      </c>
    </row>
    <row r="70" spans="1:12" ht="15.75">
      <c r="A70" s="8" t="s">
        <v>149</v>
      </c>
    </row>
    <row r="71" spans="1:12">
      <c r="A71" t="str" cm="1">
        <f t="array" ref="A71:L82">IFERROR(_FV(A68,"arrayPreview"),_xlfn._DF_Python_str(A68))</f>
        <v/>
      </c>
      <c r="B71" t="str">
        <v>Date</v>
      </c>
      <c r="C71" t="str">
        <v>Item</v>
      </c>
      <c r="D71" t="str">
        <v>Type</v>
      </c>
      <c r="E71" t="str">
        <v>Subtype</v>
      </c>
      <c r="F71" t="str">
        <v>Quantity</v>
      </c>
      <c r="G71" t="str">
        <v>...</v>
      </c>
      <c r="H71" t="str">
        <v>Client Name</v>
      </c>
      <c r="I71" t="str">
        <v>Client City</v>
      </c>
      <c r="J71" t="str">
        <v>Advance Payment</v>
      </c>
      <c r="K71" t="str">
        <v>Due Payment</v>
      </c>
      <c r="L71" t="str">
        <v>Due Payment Date</v>
      </c>
    </row>
    <row r="72" spans="1:12">
      <c r="A72">
        <v>1</v>
      </c>
      <c r="B72" vm="2">
        <v>45778</v>
      </c>
      <c r="C72" t="str">
        <v>Birthday</v>
      </c>
      <c r="D72" t="str">
        <v>Income</v>
      </c>
      <c r="E72" t="str">
        <v>Service</v>
      </c>
      <c r="F72" vm="3">
        <v>0</v>
      </c>
      <c r="G72" t="str">
        <v>...</v>
      </c>
      <c r="H72" t="str">
        <v>John Smith</v>
      </c>
      <c r="I72" t="str">
        <v>Frederick</v>
      </c>
      <c r="J72">
        <v>810</v>
      </c>
      <c r="K72">
        <v>1889.9999999999998</v>
      </c>
      <c r="L72" vm="16">
        <v>45788</v>
      </c>
    </row>
    <row r="73" spans="1:12">
      <c r="A73">
        <v>5</v>
      </c>
      <c r="B73" vm="2">
        <v>45778</v>
      </c>
      <c r="C73" t="str">
        <v>Corporate Event</v>
      </c>
      <c r="D73" t="str">
        <v>Income</v>
      </c>
      <c r="E73" t="str">
        <v>Service</v>
      </c>
      <c r="F73" vm="3">
        <v>0</v>
      </c>
      <c r="G73" t="str">
        <v>...</v>
      </c>
      <c r="H73" t="str">
        <v>Michael Lee</v>
      </c>
      <c r="I73" t="str">
        <v>Towson</v>
      </c>
      <c r="J73">
        <v>241.5</v>
      </c>
      <c r="K73">
        <v>563.5</v>
      </c>
      <c r="L73" vm="16">
        <v>45788</v>
      </c>
    </row>
    <row r="74" spans="1:12">
      <c r="A74">
        <v>8</v>
      </c>
      <c r="B74" vm="7">
        <v>45779</v>
      </c>
      <c r="C74" t="str">
        <v>Birthday</v>
      </c>
      <c r="D74" t="str">
        <v>Income</v>
      </c>
      <c r="E74" t="str">
        <v>Service</v>
      </c>
      <c r="F74" vm="3">
        <v>0</v>
      </c>
      <c r="G74" t="str">
        <v>...</v>
      </c>
      <c r="H74" t="str">
        <v>Emma Davis</v>
      </c>
      <c r="I74" t="str">
        <v>Annapolis</v>
      </c>
      <c r="J74">
        <v>424.8</v>
      </c>
      <c r="K74">
        <v>991.19999999999993</v>
      </c>
      <c r="L74" vm="17">
        <v>45789</v>
      </c>
    </row>
    <row r="75" spans="1:12">
      <c r="A75">
        <v>9</v>
      </c>
      <c r="B75" vm="7">
        <v>45779</v>
      </c>
      <c r="C75" t="str">
        <v>Birthday</v>
      </c>
      <c r="D75" t="str">
        <v>Income</v>
      </c>
      <c r="E75" t="str">
        <v>Service</v>
      </c>
      <c r="F75" vm="3">
        <v>0</v>
      </c>
      <c r="G75" t="str">
        <v>...</v>
      </c>
      <c r="H75" t="str">
        <v>David Kim</v>
      </c>
      <c r="I75" t="str">
        <v>Baltimore</v>
      </c>
      <c r="J75">
        <v>615</v>
      </c>
      <c r="K75">
        <v>1435</v>
      </c>
      <c r="L75" vm="17">
        <v>45789</v>
      </c>
    </row>
    <row r="76" spans="1:12">
      <c r="A76">
        <v>12</v>
      </c>
      <c r="B76" vm="12">
        <v>45780</v>
      </c>
      <c r="C76" t="str">
        <v>Birthday</v>
      </c>
      <c r="D76" t="str">
        <v>Income</v>
      </c>
      <c r="E76" t="str">
        <v>Service</v>
      </c>
      <c r="F76" vm="3">
        <v>0</v>
      </c>
      <c r="G76" t="str">
        <v>...</v>
      </c>
      <c r="H76" t="str">
        <v>Emma Davis</v>
      </c>
      <c r="I76" t="str">
        <v>Annapolis</v>
      </c>
      <c r="J76">
        <v>349.8</v>
      </c>
      <c r="K76">
        <v>816.19999999999993</v>
      </c>
      <c r="L76" vm="18">
        <v>45790</v>
      </c>
    </row>
    <row r="77" spans="1:12">
      <c r="A77" t="str">
        <v>...</v>
      </c>
      <c r="B77" t="str">
        <v>...</v>
      </c>
      <c r="C77" t="str">
        <v>...</v>
      </c>
      <c r="D77" t="str">
        <v>...</v>
      </c>
      <c r="E77" t="str">
        <v>...</v>
      </c>
      <c r="F77" t="str">
        <v>...</v>
      </c>
      <c r="G77" t="str">
        <v>...</v>
      </c>
      <c r="H77" t="str">
        <v>...</v>
      </c>
      <c r="I77" t="str">
        <v>...</v>
      </c>
      <c r="J77" t="str">
        <v>...</v>
      </c>
      <c r="K77" t="str">
        <v>...</v>
      </c>
      <c r="L77" t="str">
        <v>...</v>
      </c>
    </row>
    <row r="78" spans="1:12">
      <c r="A78">
        <v>135</v>
      </c>
      <c r="B78" vm="13">
        <v>45804</v>
      </c>
      <c r="C78" t="str">
        <v>Corporate Event</v>
      </c>
      <c r="D78" t="str">
        <v>Income</v>
      </c>
      <c r="E78" t="str">
        <v>Service</v>
      </c>
      <c r="F78" vm="3">
        <v>0</v>
      </c>
      <c r="G78" t="str">
        <v>...</v>
      </c>
      <c r="H78" t="str">
        <v>Emma Davis</v>
      </c>
      <c r="I78" t="str">
        <v>Baltimore</v>
      </c>
      <c r="J78">
        <v>410.09999999999997</v>
      </c>
      <c r="K78">
        <v>956.9</v>
      </c>
      <c r="L78" vm="19">
        <v>45814</v>
      </c>
    </row>
    <row r="79" spans="1:12">
      <c r="A79">
        <v>136</v>
      </c>
      <c r="B79" vm="13">
        <v>45804</v>
      </c>
      <c r="C79" t="str">
        <v>Wedding</v>
      </c>
      <c r="D79" t="str">
        <v>Income</v>
      </c>
      <c r="E79" t="str">
        <v>Service</v>
      </c>
      <c r="F79" vm="3">
        <v>0</v>
      </c>
      <c r="G79" t="str">
        <v>...</v>
      </c>
      <c r="H79" t="str">
        <v>John Smith</v>
      </c>
      <c r="I79" t="str">
        <v>Baltimore</v>
      </c>
      <c r="J79">
        <v>489.9</v>
      </c>
      <c r="K79">
        <v>1143.0999999999999</v>
      </c>
      <c r="L79" vm="19">
        <v>45814</v>
      </c>
    </row>
    <row r="80" spans="1:12">
      <c r="A80">
        <v>137</v>
      </c>
      <c r="B80" vm="13">
        <v>45804</v>
      </c>
      <c r="C80" t="str">
        <v>Anniversary</v>
      </c>
      <c r="D80" t="str">
        <v>Income</v>
      </c>
      <c r="E80" t="str">
        <v>Service</v>
      </c>
      <c r="F80" vm="3">
        <v>0</v>
      </c>
      <c r="G80" t="str">
        <v>...</v>
      </c>
      <c r="H80" t="str">
        <v>David Kim</v>
      </c>
      <c r="I80" t="str">
        <v>Rockville</v>
      </c>
      <c r="J80">
        <v>438.3</v>
      </c>
      <c r="K80">
        <v>1022.6999999999999</v>
      </c>
      <c r="L80" vm="19">
        <v>45814</v>
      </c>
    </row>
    <row r="81" spans="1:12">
      <c r="A81">
        <v>138</v>
      </c>
      <c r="B81" vm="14">
        <v>45805</v>
      </c>
      <c r="C81" t="str">
        <v>Baby Shower</v>
      </c>
      <c r="D81" t="str">
        <v>Income</v>
      </c>
      <c r="E81" t="str">
        <v>Service</v>
      </c>
      <c r="F81" vm="3">
        <v>0</v>
      </c>
      <c r="G81" t="str">
        <v>...</v>
      </c>
      <c r="H81" t="str">
        <v>John Smith</v>
      </c>
      <c r="I81" t="str">
        <v>Annapolis</v>
      </c>
      <c r="J81">
        <v>767.69999999999993</v>
      </c>
      <c r="K81">
        <v>1791.3</v>
      </c>
      <c r="L81" vm="20">
        <v>45815</v>
      </c>
    </row>
    <row r="82" spans="1:12">
      <c r="A82">
        <v>141</v>
      </c>
      <c r="B82" vm="10">
        <v>45806</v>
      </c>
      <c r="C82" t="str">
        <v>Corporate Event</v>
      </c>
      <c r="D82" t="str">
        <v>Income</v>
      </c>
      <c r="E82" t="str">
        <v>Service</v>
      </c>
      <c r="F82" vm="3">
        <v>0</v>
      </c>
      <c r="G82" t="str">
        <v>...</v>
      </c>
      <c r="H82" t="str">
        <v>James Wilson</v>
      </c>
      <c r="I82" t="str">
        <v>Annapolis</v>
      </c>
      <c r="J82">
        <v>265.8</v>
      </c>
      <c r="K82">
        <v>620.19999999999993</v>
      </c>
      <c r="L82" vm="21">
        <v>45816</v>
      </c>
    </row>
    <row r="85" spans="1:12" ht="18.75">
      <c r="A85" s="7" t="s">
        <v>154</v>
      </c>
    </row>
    <row r="86" spans="1:12">
      <c r="A86" t="e" cm="1" vm="22">
        <f t="array" ref="A86">_xlfn._xlws.PY(5,1)</f>
        <v>#VALUE!</v>
      </c>
    </row>
    <row r="88" spans="1:12" ht="15.75">
      <c r="A88" s="8" t="s">
        <v>149</v>
      </c>
    </row>
    <row r="89" spans="1:12">
      <c r="A89" cm="1">
        <f t="array" ref="A89:A90">IFERROR(_FV(A86,"arrayPreview"),_xlfn._DF_Python_str(A86))</f>
        <v>20411.399999999998</v>
      </c>
    </row>
    <row r="90" spans="1:12">
      <c r="A90">
        <v>47626.599999999991</v>
      </c>
    </row>
    <row r="93" spans="1:12" ht="18.75">
      <c r="A93" s="7" t="s">
        <v>155</v>
      </c>
    </row>
    <row r="94" spans="1:12">
      <c r="A94" t="e" cm="1" vm="23">
        <f t="array" ref="A94">_xlfn._xlws.PY(6,1)</f>
        <v>#VALUE!</v>
      </c>
    </row>
    <row r="96" spans="1:12" ht="15.75">
      <c r="A96" s="8" t="s">
        <v>149</v>
      </c>
    </row>
    <row r="97" spans="1:10">
      <c r="A97" t="str" cm="1">
        <f t="array" ref="A97:A99">IFERROR(_FV(A94,"arrayPreview"),_xlfn._DF_Python_str(A94))</f>
        <v>&lt;DataFrame&gt;</v>
      </c>
    </row>
    <row r="98" spans="1:10">
      <c r="A98" t="str">
        <v>&lt;DataFrame&gt;</v>
      </c>
    </row>
    <row r="99" spans="1:10">
      <c r="A99" t="str">
        <v>&lt;DataFrame&gt;</v>
      </c>
    </row>
    <row r="102" spans="1:10" ht="18.75">
      <c r="A102" s="7" t="s">
        <v>156</v>
      </c>
    </row>
    <row r="103" spans="1:10">
      <c r="A103" t="e" cm="1" vm="24">
        <f t="array" ref="A103">_xlfn._xlws.PY(7,1)</f>
        <v>#VALUE!</v>
      </c>
    </row>
    <row r="105" spans="1:10" ht="15.75">
      <c r="A105" s="8" t="s">
        <v>149</v>
      </c>
    </row>
    <row r="106" spans="1:10">
      <c r="A106" t="str" cm="1">
        <f t="array" ref="A106:J117">IFERROR(_FV(A103,"arrayPreview"),_xlfn._DF_Python_str(A103))</f>
        <v/>
      </c>
      <c r="B106" t="str">
        <v>Date</v>
      </c>
      <c r="C106" t="str">
        <v>Item</v>
      </c>
      <c r="D106" t="str">
        <v>Type</v>
      </c>
      <c r="E106" t="str">
        <v>Subtype</v>
      </c>
      <c r="F106" t="str">
        <v>Quantity</v>
      </c>
      <c r="G106" t="str">
        <v>Per Unit Price</v>
      </c>
      <c r="H106" t="str">
        <v>Total Price</v>
      </c>
      <c r="I106" t="str">
        <v>Client Name</v>
      </c>
      <c r="J106" t="str">
        <v>Client City</v>
      </c>
    </row>
    <row r="107" spans="1:10">
      <c r="A107">
        <v>3</v>
      </c>
      <c r="B107" vm="2">
        <v>45778</v>
      </c>
      <c r="C107" t="str">
        <v>Vendor Payment - Flowers</v>
      </c>
      <c r="D107" t="str">
        <v>Expense</v>
      </c>
      <c r="E107" t="str">
        <v>Event cost</v>
      </c>
      <c r="F107" vm="3">
        <v>0</v>
      </c>
      <c r="G107" vm="3">
        <v>0</v>
      </c>
      <c r="H107">
        <v>338</v>
      </c>
      <c r="I107" t="str">
        <v>AAA Party Rentals</v>
      </c>
      <c r="J107" t="str">
        <v>N/A</v>
      </c>
    </row>
    <row r="108" spans="1:10">
      <c r="A108">
        <v>7</v>
      </c>
      <c r="B108" vm="2">
        <v>45778</v>
      </c>
      <c r="C108" t="str">
        <v>Transportation Cost</v>
      </c>
      <c r="D108" t="str">
        <v>Expense</v>
      </c>
      <c r="E108" t="str">
        <v>Event cost</v>
      </c>
      <c r="F108" vm="3">
        <v>0</v>
      </c>
      <c r="G108" vm="3">
        <v>0</v>
      </c>
      <c r="H108">
        <v>219</v>
      </c>
      <c r="I108" t="str">
        <v>N/A</v>
      </c>
      <c r="J108" t="str">
        <v>N/A</v>
      </c>
    </row>
    <row r="109" spans="1:10">
      <c r="A109">
        <v>10</v>
      </c>
      <c r="B109" vm="7">
        <v>45779</v>
      </c>
      <c r="C109" t="str">
        <v>Vendor Payment - Flowers</v>
      </c>
      <c r="D109" t="str">
        <v>Expense</v>
      </c>
      <c r="E109" t="str">
        <v>Event cost</v>
      </c>
      <c r="F109" vm="3">
        <v>0</v>
      </c>
      <c r="G109" vm="3">
        <v>0</v>
      </c>
      <c r="H109">
        <v>93</v>
      </c>
      <c r="I109" t="str">
        <v>AAA Party Rentals</v>
      </c>
      <c r="J109" t="str">
        <v>N/A</v>
      </c>
    </row>
    <row r="110" spans="1:10">
      <c r="A110">
        <v>15</v>
      </c>
      <c r="B110" vm="12">
        <v>45780</v>
      </c>
      <c r="C110" t="str">
        <v>Vendor Payment - Catering</v>
      </c>
      <c r="D110" t="str">
        <v>Expense</v>
      </c>
      <c r="E110" t="str">
        <v>Event cost</v>
      </c>
      <c r="F110" vm="3">
        <v>0</v>
      </c>
      <c r="G110" vm="3">
        <v>0</v>
      </c>
      <c r="H110">
        <v>402</v>
      </c>
      <c r="I110" t="str">
        <v>Better Catering</v>
      </c>
      <c r="J110" t="str">
        <v>N/A</v>
      </c>
    </row>
    <row r="111" spans="1:10">
      <c r="A111">
        <v>19</v>
      </c>
      <c r="B111" vm="8">
        <v>45781</v>
      </c>
      <c r="C111" t="str">
        <v>Vendor Payment - Catering</v>
      </c>
      <c r="D111" t="str">
        <v>Expense</v>
      </c>
      <c r="E111" t="str">
        <v>Event cost</v>
      </c>
      <c r="F111" vm="3">
        <v>0</v>
      </c>
      <c r="G111" vm="3">
        <v>0</v>
      </c>
      <c r="H111">
        <v>1136</v>
      </c>
      <c r="I111" t="str">
        <v>N/A</v>
      </c>
      <c r="J111" t="str">
        <v>N/A</v>
      </c>
    </row>
    <row r="112" spans="1:10">
      <c r="A112" t="str">
        <v>...</v>
      </c>
      <c r="B112" t="str">
        <v>...</v>
      </c>
      <c r="C112" t="str">
        <v>...</v>
      </c>
      <c r="D112" t="str">
        <v>...</v>
      </c>
      <c r="E112" t="str">
        <v>...</v>
      </c>
      <c r="F112" t="str">
        <v>...</v>
      </c>
      <c r="G112" t="str">
        <v>...</v>
      </c>
      <c r="H112" t="str">
        <v>...</v>
      </c>
      <c r="I112" t="str">
        <v>...</v>
      </c>
      <c r="J112" t="str">
        <v>...</v>
      </c>
    </row>
    <row r="113" spans="1:10">
      <c r="A113">
        <v>127</v>
      </c>
      <c r="B113" vm="25">
        <v>45801</v>
      </c>
      <c r="C113" t="str">
        <v>Transportation Cost</v>
      </c>
      <c r="D113" t="str">
        <v>Expense</v>
      </c>
      <c r="E113" t="str">
        <v>Event cost</v>
      </c>
      <c r="F113" vm="3">
        <v>0</v>
      </c>
      <c r="G113" vm="3">
        <v>0</v>
      </c>
      <c r="H113">
        <v>792</v>
      </c>
      <c r="I113" t="str">
        <v>N/A</v>
      </c>
      <c r="J113" t="str">
        <v>N/A</v>
      </c>
    </row>
    <row r="114" spans="1:10">
      <c r="A114">
        <v>132</v>
      </c>
      <c r="B114" vm="13">
        <v>45804</v>
      </c>
      <c r="C114" t="str">
        <v>Vendor Payment - Flowers</v>
      </c>
      <c r="D114" t="str">
        <v>Expense</v>
      </c>
      <c r="E114" t="str">
        <v>Event cost</v>
      </c>
      <c r="F114" vm="3">
        <v>0</v>
      </c>
      <c r="G114" vm="3">
        <v>0</v>
      </c>
      <c r="H114">
        <v>1483</v>
      </c>
      <c r="I114" t="str">
        <v>All Flower Inc.</v>
      </c>
      <c r="J114" t="str">
        <v>N/A</v>
      </c>
    </row>
    <row r="115" spans="1:10">
      <c r="A115">
        <v>140</v>
      </c>
      <c r="B115" vm="10">
        <v>45806</v>
      </c>
      <c r="C115" t="str">
        <v>Venue Rental</v>
      </c>
      <c r="D115" t="str">
        <v>Expense</v>
      </c>
      <c r="E115" t="str">
        <v>Event cost</v>
      </c>
      <c r="F115" vm="3">
        <v>0</v>
      </c>
      <c r="G115" vm="3">
        <v>0</v>
      </c>
      <c r="H115">
        <v>655</v>
      </c>
      <c r="I115" t="str">
        <v>N/A</v>
      </c>
      <c r="J115" t="str">
        <v>N/A</v>
      </c>
    </row>
    <row r="116" spans="1:10">
      <c r="A116">
        <v>147</v>
      </c>
      <c r="B116" vm="4">
        <v>45807</v>
      </c>
      <c r="C116" t="str">
        <v>Vendor Payment - Flowers</v>
      </c>
      <c r="D116" t="str">
        <v>Expense</v>
      </c>
      <c r="E116" t="str">
        <v>Event cost</v>
      </c>
      <c r="F116" vm="3">
        <v>0</v>
      </c>
      <c r="G116" vm="3">
        <v>0</v>
      </c>
      <c r="H116">
        <v>1328</v>
      </c>
      <c r="I116" t="str">
        <v>AAA Party Rentals</v>
      </c>
      <c r="J116" t="str">
        <v>N/A</v>
      </c>
    </row>
    <row r="117" spans="1:10">
      <c r="A117">
        <v>148</v>
      </c>
      <c r="B117" vm="4">
        <v>45807</v>
      </c>
      <c r="C117" t="str">
        <v>Vendor Payment - Catering</v>
      </c>
      <c r="D117" t="str">
        <v>Expense</v>
      </c>
      <c r="E117" t="str">
        <v>Event cost</v>
      </c>
      <c r="F117" vm="3">
        <v>0</v>
      </c>
      <c r="G117" vm="3">
        <v>0</v>
      </c>
      <c r="H117">
        <v>351</v>
      </c>
      <c r="I117" t="str">
        <v>Better Catering</v>
      </c>
      <c r="J117" t="str">
        <v>N/A</v>
      </c>
    </row>
    <row r="120" spans="1:10" ht="18.75">
      <c r="A120" s="7" t="s">
        <v>157</v>
      </c>
    </row>
    <row r="121" spans="1:10">
      <c r="A121" t="e" cm="1" vm="26">
        <f t="array" ref="A121">_xlfn._xlws.PY(8,1)</f>
        <v>#VALUE!</v>
      </c>
    </row>
    <row r="123" spans="1:10" ht="15.75">
      <c r="A123" s="8" t="s">
        <v>149</v>
      </c>
    </row>
    <row r="124" spans="1:10">
      <c r="A124" t="str" cm="1">
        <f t="array" ref="A124:J135">IFERROR(_FV(A121,"arrayPreview"),_xlfn._DF_Python_str(A121))</f>
        <v/>
      </c>
      <c r="B124" t="str">
        <v>Date</v>
      </c>
      <c r="C124" t="str">
        <v>Item</v>
      </c>
      <c r="D124" t="str">
        <v>Type</v>
      </c>
      <c r="E124" t="str">
        <v>Subtype</v>
      </c>
      <c r="F124" t="str">
        <v>Quantity</v>
      </c>
      <c r="G124" t="str">
        <v>Per Unit Price</v>
      </c>
      <c r="H124" t="str">
        <v>Total Price</v>
      </c>
      <c r="I124" t="str">
        <v>Client Name</v>
      </c>
      <c r="J124" t="str">
        <v>Client City</v>
      </c>
    </row>
    <row r="125" spans="1:10">
      <c r="A125">
        <v>0</v>
      </c>
      <c r="B125" vm="2">
        <v>45778</v>
      </c>
      <c r="C125" t="str">
        <v>Travel and Entertainment</v>
      </c>
      <c r="D125" t="str">
        <v>Expense</v>
      </c>
      <c r="E125" t="str">
        <v>Administrative</v>
      </c>
      <c r="F125" vm="3">
        <v>0</v>
      </c>
      <c r="G125" vm="3">
        <v>0</v>
      </c>
      <c r="H125">
        <v>139</v>
      </c>
      <c r="I125" t="str">
        <v>N/A</v>
      </c>
      <c r="J125" t="str">
        <v>N/A</v>
      </c>
    </row>
    <row r="126" spans="1:10">
      <c r="A126">
        <v>2</v>
      </c>
      <c r="B126" vm="2">
        <v>45778</v>
      </c>
      <c r="C126" t="str">
        <v>Travel and Entertainment</v>
      </c>
      <c r="D126" t="str">
        <v>Expense</v>
      </c>
      <c r="E126" t="str">
        <v>Administrative</v>
      </c>
      <c r="F126" vm="3">
        <v>0</v>
      </c>
      <c r="G126" vm="3">
        <v>0</v>
      </c>
      <c r="H126">
        <v>1050</v>
      </c>
      <c r="I126" t="str">
        <v>N/A</v>
      </c>
      <c r="J126" t="str">
        <v>N/A</v>
      </c>
    </row>
    <row r="127" spans="1:10">
      <c r="A127">
        <v>6</v>
      </c>
      <c r="B127" vm="2">
        <v>45778</v>
      </c>
      <c r="C127" t="str">
        <v>Salary Payment</v>
      </c>
      <c r="D127" t="str">
        <v>Expense</v>
      </c>
      <c r="E127" t="str">
        <v>Administrative</v>
      </c>
      <c r="F127" vm="3">
        <v>0</v>
      </c>
      <c r="G127" vm="3">
        <v>0</v>
      </c>
      <c r="H127">
        <v>638</v>
      </c>
      <c r="I127" t="str">
        <v>N/A</v>
      </c>
      <c r="J127" t="str">
        <v>N/A</v>
      </c>
    </row>
    <row r="128" spans="1:10">
      <c r="A128">
        <v>14</v>
      </c>
      <c r="B128" vm="12">
        <v>45780</v>
      </c>
      <c r="C128" t="str">
        <v>Travel and Entertainment</v>
      </c>
      <c r="D128" t="str">
        <v>Expense</v>
      </c>
      <c r="E128" t="str">
        <v>Administrative</v>
      </c>
      <c r="F128" vm="3">
        <v>0</v>
      </c>
      <c r="G128" vm="3">
        <v>0</v>
      </c>
      <c r="H128">
        <v>955</v>
      </c>
      <c r="I128" t="str">
        <v>N/A</v>
      </c>
      <c r="J128" t="str">
        <v>N/A</v>
      </c>
    </row>
    <row r="129" spans="1:10">
      <c r="A129">
        <v>16</v>
      </c>
      <c r="B129" vm="12">
        <v>45780</v>
      </c>
      <c r="C129" t="str">
        <v>Utility Bill- Electricity Office</v>
      </c>
      <c r="D129" t="str">
        <v>Expense</v>
      </c>
      <c r="E129" t="str">
        <v>Administrative</v>
      </c>
      <c r="F129" vm="3">
        <v>0</v>
      </c>
      <c r="G129" vm="3">
        <v>0</v>
      </c>
      <c r="H129">
        <v>375</v>
      </c>
      <c r="I129" t="str">
        <v>N/A</v>
      </c>
      <c r="J129" t="str">
        <v>N/A</v>
      </c>
    </row>
    <row r="130" spans="1:10">
      <c r="A130" t="str">
        <v>...</v>
      </c>
      <c r="B130" t="str">
        <v>...</v>
      </c>
      <c r="C130" t="str">
        <v>...</v>
      </c>
      <c r="D130" t="str">
        <v>...</v>
      </c>
      <c r="E130" t="str">
        <v>...</v>
      </c>
      <c r="F130" t="str">
        <v>...</v>
      </c>
      <c r="G130" t="str">
        <v>...</v>
      </c>
      <c r="H130" t="str">
        <v>...</v>
      </c>
      <c r="I130" t="str">
        <v>...</v>
      </c>
      <c r="J130" t="str">
        <v>...</v>
      </c>
    </row>
    <row r="131" spans="1:10">
      <c r="A131">
        <v>110</v>
      </c>
      <c r="B131" vm="27">
        <v>45799</v>
      </c>
      <c r="C131" t="str">
        <v>Utility Bill- Electricity Warehouse</v>
      </c>
      <c r="D131" t="str">
        <v>Expense</v>
      </c>
      <c r="E131" t="str">
        <v>Administrative</v>
      </c>
      <c r="F131" vm="3">
        <v>0</v>
      </c>
      <c r="G131" vm="3">
        <v>0</v>
      </c>
      <c r="H131">
        <v>824</v>
      </c>
      <c r="I131" t="str">
        <v>N/A</v>
      </c>
      <c r="J131" t="str">
        <v>N/A</v>
      </c>
    </row>
    <row r="132" spans="1:10">
      <c r="A132">
        <v>116</v>
      </c>
      <c r="B132" vm="28">
        <v>45800</v>
      </c>
      <c r="C132" t="str">
        <v>Utility Bill- Office</v>
      </c>
      <c r="D132" t="str">
        <v>Expense</v>
      </c>
      <c r="E132" t="str">
        <v>Administrative</v>
      </c>
      <c r="F132" vm="3">
        <v>0</v>
      </c>
      <c r="G132" vm="3">
        <v>0</v>
      </c>
      <c r="H132">
        <v>699</v>
      </c>
      <c r="I132" t="str">
        <v>N/A</v>
      </c>
      <c r="J132" t="str">
        <v>N/A</v>
      </c>
    </row>
    <row r="133" spans="1:10">
      <c r="A133">
        <v>119</v>
      </c>
      <c r="B133" vm="28">
        <v>45800</v>
      </c>
      <c r="C133" t="str">
        <v>Travel and Entertainment</v>
      </c>
      <c r="D133" t="str">
        <v>Expense</v>
      </c>
      <c r="E133" t="str">
        <v>Administrative</v>
      </c>
      <c r="F133" vm="3">
        <v>0</v>
      </c>
      <c r="G133" vm="3">
        <v>0</v>
      </c>
      <c r="H133">
        <v>1209</v>
      </c>
      <c r="I133" t="str">
        <v>N/A</v>
      </c>
      <c r="J133" t="str">
        <v>N/A</v>
      </c>
    </row>
    <row r="134" spans="1:10">
      <c r="A134">
        <v>125</v>
      </c>
      <c r="B134" vm="25">
        <v>45801</v>
      </c>
      <c r="C134" t="str">
        <v>Software Subscription</v>
      </c>
      <c r="D134" t="str">
        <v>Expense</v>
      </c>
      <c r="E134" t="str">
        <v>Administrative</v>
      </c>
      <c r="F134" vm="3">
        <v>0</v>
      </c>
      <c r="G134" vm="3">
        <v>0</v>
      </c>
      <c r="H134">
        <v>919</v>
      </c>
      <c r="I134" t="str">
        <v>N/A</v>
      </c>
      <c r="J134" t="str">
        <v>N/A</v>
      </c>
    </row>
    <row r="135" spans="1:10">
      <c r="A135">
        <v>128</v>
      </c>
      <c r="B135" vm="25">
        <v>45801</v>
      </c>
      <c r="C135" t="str">
        <v>Travel and Entertainment</v>
      </c>
      <c r="D135" t="str">
        <v>Expense</v>
      </c>
      <c r="E135" t="str">
        <v>Administrative</v>
      </c>
      <c r="F135" vm="3">
        <v>0</v>
      </c>
      <c r="G135" vm="3">
        <v>0</v>
      </c>
      <c r="H135">
        <v>535</v>
      </c>
      <c r="I135" t="str">
        <v>N/A</v>
      </c>
      <c r="J135" t="str">
        <v>N/A</v>
      </c>
    </row>
    <row r="138" spans="1:10" ht="18.75">
      <c r="A138" s="7" t="s">
        <v>158</v>
      </c>
    </row>
    <row r="139" spans="1:10">
      <c r="A139" t="e" cm="1" vm="29">
        <f t="array" ref="A139">_xlfn._xlws.PY(9,1)</f>
        <v>#VALUE!</v>
      </c>
    </row>
    <row r="141" spans="1:10" ht="15.75">
      <c r="A141" s="8" t="s">
        <v>149</v>
      </c>
    </row>
    <row r="142" spans="1:10">
      <c r="A142" t="str" cm="1">
        <f t="array" ref="A142:J151">IFERROR(_FV(A139,"arrayPreview"),_xlfn._DF_Python_str(A139))</f>
        <v/>
      </c>
      <c r="B142" t="str">
        <v>Date</v>
      </c>
      <c r="C142" t="str">
        <v>Item</v>
      </c>
      <c r="D142" t="str">
        <v>Type</v>
      </c>
      <c r="E142" t="str">
        <v>Subtype</v>
      </c>
      <c r="F142" t="str">
        <v>Quantity</v>
      </c>
      <c r="G142" t="str">
        <v>Per Unit Price</v>
      </c>
      <c r="H142" t="str">
        <v>Total Price</v>
      </c>
      <c r="I142" t="str">
        <v>Client Name</v>
      </c>
      <c r="J142" t="str">
        <v>Client City</v>
      </c>
    </row>
    <row r="143" spans="1:10">
      <c r="A143">
        <v>22</v>
      </c>
      <c r="B143" vm="8">
        <v>45781</v>
      </c>
      <c r="C143" t="str">
        <v>Purchase of fabric</v>
      </c>
      <c r="D143" t="str">
        <v>Expense</v>
      </c>
      <c r="E143" t="str">
        <v>COGS</v>
      </c>
      <c r="F143">
        <v>20</v>
      </c>
      <c r="G143">
        <v>5</v>
      </c>
      <c r="H143">
        <v>100</v>
      </c>
      <c r="I143" t="str">
        <v>N/A</v>
      </c>
      <c r="J143" t="str">
        <v>N/A</v>
      </c>
    </row>
    <row r="144" spans="1:10">
      <c r="A144">
        <v>28</v>
      </c>
      <c r="B144" vm="9">
        <v>45782</v>
      </c>
      <c r="C144" t="str">
        <v>Purchase of Cutlery</v>
      </c>
      <c r="D144" t="str">
        <v>Expense</v>
      </c>
      <c r="E144" t="str">
        <v>COGS</v>
      </c>
      <c r="F144">
        <v>100</v>
      </c>
      <c r="G144">
        <v>5</v>
      </c>
      <c r="H144">
        <v>500</v>
      </c>
      <c r="I144" t="str">
        <v>N/A</v>
      </c>
      <c r="J144" t="str">
        <v>N/A</v>
      </c>
    </row>
    <row r="145" spans="1:10">
      <c r="A145">
        <v>34</v>
      </c>
      <c r="B145" vm="30">
        <v>45783</v>
      </c>
      <c r="C145" t="str">
        <v>Purchase of Wood</v>
      </c>
      <c r="D145" t="str">
        <v>Expense</v>
      </c>
      <c r="E145" t="str">
        <v>COGS</v>
      </c>
      <c r="F145">
        <v>10</v>
      </c>
      <c r="G145">
        <v>8</v>
      </c>
      <c r="H145">
        <v>80</v>
      </c>
      <c r="I145" t="str">
        <v>N/A</v>
      </c>
      <c r="J145" t="str">
        <v>N/A</v>
      </c>
    </row>
    <row r="146" spans="1:10">
      <c r="A146">
        <v>87</v>
      </c>
      <c r="B146" vm="31">
        <v>45795</v>
      </c>
      <c r="C146" t="str">
        <v>Purchase of chairs</v>
      </c>
      <c r="D146" t="str">
        <v>Expense</v>
      </c>
      <c r="E146" t="str">
        <v>COGS</v>
      </c>
      <c r="F146">
        <v>40</v>
      </c>
      <c r="G146">
        <v>12</v>
      </c>
      <c r="H146">
        <v>480</v>
      </c>
      <c r="I146" t="str">
        <v>N/A</v>
      </c>
      <c r="J146" t="str">
        <v>N/A</v>
      </c>
    </row>
    <row r="147" spans="1:10">
      <c r="A147">
        <v>90</v>
      </c>
      <c r="B147" vm="31">
        <v>45795</v>
      </c>
      <c r="C147" t="str">
        <v>Purchase of fabric</v>
      </c>
      <c r="D147" t="str">
        <v>Expense</v>
      </c>
      <c r="E147" t="str">
        <v>COGS</v>
      </c>
      <c r="F147">
        <v>50</v>
      </c>
      <c r="G147">
        <v>3</v>
      </c>
      <c r="H147">
        <v>150</v>
      </c>
      <c r="I147" t="str">
        <v>N/A</v>
      </c>
      <c r="J147" t="str">
        <v>N/A</v>
      </c>
    </row>
    <row r="148" spans="1:10">
      <c r="A148">
        <v>112</v>
      </c>
      <c r="B148" vm="27">
        <v>45799</v>
      </c>
      <c r="C148" t="str">
        <v>Purchase of décor items</v>
      </c>
      <c r="D148" t="str">
        <v>Expense</v>
      </c>
      <c r="E148" t="str">
        <v>COGS</v>
      </c>
      <c r="F148">
        <v>50</v>
      </c>
      <c r="G148">
        <v>12</v>
      </c>
      <c r="H148">
        <v>600</v>
      </c>
      <c r="I148" t="str">
        <v>N/A</v>
      </c>
      <c r="J148" t="str">
        <v>N/A</v>
      </c>
    </row>
    <row r="149" spans="1:10">
      <c r="A149">
        <v>120</v>
      </c>
      <c r="B149" vm="28">
        <v>45800</v>
      </c>
      <c r="C149" t="str">
        <v>Purchase of décor items</v>
      </c>
      <c r="D149" t="str">
        <v>Expense</v>
      </c>
      <c r="E149" t="str">
        <v>COGS</v>
      </c>
      <c r="F149">
        <v>50</v>
      </c>
      <c r="G149">
        <v>10</v>
      </c>
      <c r="H149">
        <v>500</v>
      </c>
      <c r="I149" t="str">
        <v>N/A</v>
      </c>
      <c r="J149" t="str">
        <v>N/A</v>
      </c>
    </row>
    <row r="150" spans="1:10">
      <c r="A150">
        <v>122</v>
      </c>
      <c r="B150" vm="28">
        <v>45800</v>
      </c>
      <c r="C150" t="str">
        <v>Purchase of steps</v>
      </c>
      <c r="D150" t="str">
        <v>Expense</v>
      </c>
      <c r="E150" t="str">
        <v>COGS</v>
      </c>
      <c r="F150">
        <v>20</v>
      </c>
      <c r="G150">
        <v>5</v>
      </c>
      <c r="H150">
        <v>100</v>
      </c>
      <c r="I150" t="str">
        <v>N/A</v>
      </c>
      <c r="J150" t="str">
        <v>N/A</v>
      </c>
    </row>
    <row r="151" spans="1:10">
      <c r="A151">
        <v>144</v>
      </c>
      <c r="B151" vm="10">
        <v>45806</v>
      </c>
      <c r="C151" t="str">
        <v>Purchase-balloons</v>
      </c>
      <c r="D151" t="str">
        <v>Expense</v>
      </c>
      <c r="E151" t="str">
        <v>COGS</v>
      </c>
      <c r="F151">
        <v>1000</v>
      </c>
      <c r="G151">
        <v>1.5</v>
      </c>
      <c r="H151">
        <v>1500</v>
      </c>
      <c r="I151" t="str">
        <v>N/A</v>
      </c>
      <c r="J151" t="str">
        <v>N/A</v>
      </c>
    </row>
    <row r="154" spans="1:10" ht="18.75">
      <c r="A154" s="7" t="s">
        <v>159</v>
      </c>
    </row>
    <row r="155" spans="1:10">
      <c r="A155" t="e" cm="1" vm="32">
        <f t="array" ref="A155">_xlfn._xlws.PY(10,1)</f>
        <v>#VALUE!</v>
      </c>
    </row>
    <row r="157" spans="1:10" ht="15.75">
      <c r="A157" s="8" t="s">
        <v>149</v>
      </c>
    </row>
    <row r="158" spans="1:10">
      <c r="A158" cm="1">
        <f t="array" ref="A158:A160">IFERROR(_FV(A155,"arrayPreview"),_xlfn._DF_Python_str(A155))</f>
        <v>21228</v>
      </c>
    </row>
    <row r="159" spans="1:10">
      <c r="A159">
        <v>16293</v>
      </c>
    </row>
    <row r="160" spans="1:10">
      <c r="A160">
        <v>4010</v>
      </c>
    </row>
    <row r="163" spans="1:11" ht="18.75">
      <c r="A163" s="7" t="s">
        <v>159</v>
      </c>
    </row>
    <row r="164" spans="1:11">
      <c r="A164" t="e" cm="1" vm="33">
        <f t="array" ref="A164">_xlfn._xlws.PY(11,1)</f>
        <v>#VALUE!</v>
      </c>
    </row>
    <row r="166" spans="1:11" ht="15.75">
      <c r="A166" s="8" t="s">
        <v>149</v>
      </c>
    </row>
    <row r="167" spans="1:11">
      <c r="A167" t="str" cm="1">
        <f t="array" ref="A167:A169">IFERROR(_FV(A164,"arrayPreview"),_xlfn._DF_Python_str(A164))</f>
        <v>&lt;DataFrame&gt;</v>
      </c>
    </row>
    <row r="168" spans="1:11">
      <c r="A168" t="str">
        <v>&lt;DataFrame&gt;</v>
      </c>
    </row>
    <row r="169" spans="1:11">
      <c r="A169" t="str">
        <v>&lt;DataFrame&gt;</v>
      </c>
    </row>
    <row r="172" spans="1:11" ht="18.75">
      <c r="A172" s="7" t="s">
        <v>159</v>
      </c>
    </row>
    <row r="173" spans="1:11">
      <c r="A173" t="e" cm="1" vm="34">
        <f t="array" ref="A173">_xlfn._xlws.PY(12,1)</f>
        <v>#VALUE!</v>
      </c>
    </row>
    <row r="175" spans="1:11" ht="15.75">
      <c r="A175" s="8" t="s">
        <v>149</v>
      </c>
    </row>
    <row r="176" spans="1:11">
      <c r="A176" t="str" cm="1">
        <f t="array" ref="A176:K187">IFERROR(_FV(A173,"arrayPreview"),_xlfn._DF_Python_str(A173))</f>
        <v/>
      </c>
      <c r="B176" t="str">
        <v>Date</v>
      </c>
      <c r="C176" t="str">
        <v>Item</v>
      </c>
      <c r="D176" t="str">
        <v>Type</v>
      </c>
      <c r="E176" t="str">
        <v>Subtype</v>
      </c>
      <c r="F176" t="str">
        <v>Quantity</v>
      </c>
      <c r="G176" t="str">
        <v>Per Unit Price</v>
      </c>
      <c r="H176" t="str">
        <v>Total Price</v>
      </c>
      <c r="I176" t="str">
        <v>Client Name</v>
      </c>
      <c r="J176" t="str">
        <v>Client City</v>
      </c>
      <c r="K176" t="str">
        <v>Payment Due Date</v>
      </c>
    </row>
    <row r="177" spans="1:11">
      <c r="A177">
        <v>0</v>
      </c>
      <c r="B177" vm="2">
        <v>45778</v>
      </c>
      <c r="C177" t="str">
        <v>Travel and Entertainment</v>
      </c>
      <c r="D177" t="str">
        <v>Expense</v>
      </c>
      <c r="E177" t="str">
        <v>Administrative</v>
      </c>
      <c r="F177" vm="3">
        <v>0</v>
      </c>
      <c r="G177" vm="3">
        <v>0</v>
      </c>
      <c r="H177">
        <v>139</v>
      </c>
      <c r="I177" t="str">
        <v>N/A</v>
      </c>
      <c r="J177" t="str">
        <v>N/A</v>
      </c>
      <c r="K177" vm="35">
        <v>45785</v>
      </c>
    </row>
    <row r="178" spans="1:11">
      <c r="A178">
        <v>2</v>
      </c>
      <c r="B178" vm="2">
        <v>45778</v>
      </c>
      <c r="C178" t="str">
        <v>Travel and Entertainment</v>
      </c>
      <c r="D178" t="str">
        <v>Expense</v>
      </c>
      <c r="E178" t="str">
        <v>Administrative</v>
      </c>
      <c r="F178" vm="3">
        <v>0</v>
      </c>
      <c r="G178" vm="3">
        <v>0</v>
      </c>
      <c r="H178">
        <v>1050</v>
      </c>
      <c r="I178" t="str">
        <v>N/A</v>
      </c>
      <c r="J178" t="str">
        <v>N/A</v>
      </c>
      <c r="K178" vm="35">
        <v>45785</v>
      </c>
    </row>
    <row r="179" spans="1:11">
      <c r="A179">
        <v>6</v>
      </c>
      <c r="B179" vm="2">
        <v>45778</v>
      </c>
      <c r="C179" t="str">
        <v>Salary Payment</v>
      </c>
      <c r="D179" t="str">
        <v>Expense</v>
      </c>
      <c r="E179" t="str">
        <v>Administrative</v>
      </c>
      <c r="F179" vm="3">
        <v>0</v>
      </c>
      <c r="G179" vm="3">
        <v>0</v>
      </c>
      <c r="H179">
        <v>638</v>
      </c>
      <c r="I179" t="str">
        <v>N/A</v>
      </c>
      <c r="J179" t="str">
        <v>N/A</v>
      </c>
      <c r="K179" vm="35">
        <v>45785</v>
      </c>
    </row>
    <row r="180" spans="1:11">
      <c r="A180">
        <v>14</v>
      </c>
      <c r="B180" vm="12">
        <v>45780</v>
      </c>
      <c r="C180" t="str">
        <v>Travel and Entertainment</v>
      </c>
      <c r="D180" t="str">
        <v>Expense</v>
      </c>
      <c r="E180" t="str">
        <v>Administrative</v>
      </c>
      <c r="F180" vm="3">
        <v>0</v>
      </c>
      <c r="G180" vm="3">
        <v>0</v>
      </c>
      <c r="H180">
        <v>955</v>
      </c>
      <c r="I180" t="str">
        <v>N/A</v>
      </c>
      <c r="J180" t="str">
        <v>N/A</v>
      </c>
      <c r="K180" vm="36">
        <v>45787</v>
      </c>
    </row>
    <row r="181" spans="1:11">
      <c r="A181">
        <v>16</v>
      </c>
      <c r="B181" vm="12">
        <v>45780</v>
      </c>
      <c r="C181" t="str">
        <v>Utility Bill- Electricity Office</v>
      </c>
      <c r="D181" t="str">
        <v>Expense</v>
      </c>
      <c r="E181" t="str">
        <v>Administrative</v>
      </c>
      <c r="F181" vm="3">
        <v>0</v>
      </c>
      <c r="G181" vm="3">
        <v>0</v>
      </c>
      <c r="H181">
        <v>375</v>
      </c>
      <c r="I181" t="str">
        <v>N/A</v>
      </c>
      <c r="J181" t="str">
        <v>N/A</v>
      </c>
      <c r="K181" vm="36">
        <v>45787</v>
      </c>
    </row>
    <row r="182" spans="1:11">
      <c r="A182" t="str">
        <v>...</v>
      </c>
      <c r="B182" t="str">
        <v>...</v>
      </c>
      <c r="C182" t="str">
        <v>...</v>
      </c>
      <c r="D182" t="str">
        <v>...</v>
      </c>
      <c r="E182" t="str">
        <v>...</v>
      </c>
      <c r="F182" t="str">
        <v>...</v>
      </c>
      <c r="G182" t="str">
        <v>...</v>
      </c>
      <c r="H182" t="str">
        <v>...</v>
      </c>
      <c r="I182" t="str">
        <v>...</v>
      </c>
      <c r="J182" t="str">
        <v>...</v>
      </c>
      <c r="K182" t="str">
        <v>...</v>
      </c>
    </row>
    <row r="183" spans="1:11">
      <c r="A183">
        <v>110</v>
      </c>
      <c r="B183" vm="27">
        <v>45799</v>
      </c>
      <c r="C183" t="str">
        <v>Utility Bill- Electricity Warehouse</v>
      </c>
      <c r="D183" t="str">
        <v>Expense</v>
      </c>
      <c r="E183" t="str">
        <v>Administrative</v>
      </c>
      <c r="F183" vm="3">
        <v>0</v>
      </c>
      <c r="G183" vm="3">
        <v>0</v>
      </c>
      <c r="H183">
        <v>824</v>
      </c>
      <c r="I183" t="str">
        <v>N/A</v>
      </c>
      <c r="J183" t="str">
        <v>N/A</v>
      </c>
      <c r="K183" vm="10">
        <v>45806</v>
      </c>
    </row>
    <row r="184" spans="1:11">
      <c r="A184">
        <v>116</v>
      </c>
      <c r="B184" vm="28">
        <v>45800</v>
      </c>
      <c r="C184" t="str">
        <v>Utility Bill- Office</v>
      </c>
      <c r="D184" t="str">
        <v>Expense</v>
      </c>
      <c r="E184" t="str">
        <v>Administrative</v>
      </c>
      <c r="F184" vm="3">
        <v>0</v>
      </c>
      <c r="G184" vm="3">
        <v>0</v>
      </c>
      <c r="H184">
        <v>699</v>
      </c>
      <c r="I184" t="str">
        <v>N/A</v>
      </c>
      <c r="J184" t="str">
        <v>N/A</v>
      </c>
      <c r="K184" vm="4">
        <v>45807</v>
      </c>
    </row>
    <row r="185" spans="1:11">
      <c r="A185">
        <v>119</v>
      </c>
      <c r="B185" vm="28">
        <v>45800</v>
      </c>
      <c r="C185" t="str">
        <v>Travel and Entertainment</v>
      </c>
      <c r="D185" t="str">
        <v>Expense</v>
      </c>
      <c r="E185" t="str">
        <v>Administrative</v>
      </c>
      <c r="F185" vm="3">
        <v>0</v>
      </c>
      <c r="G185" vm="3">
        <v>0</v>
      </c>
      <c r="H185">
        <v>1209</v>
      </c>
      <c r="I185" t="str">
        <v>N/A</v>
      </c>
      <c r="J185" t="str">
        <v>N/A</v>
      </c>
      <c r="K185" vm="4">
        <v>45807</v>
      </c>
    </row>
    <row r="186" spans="1:11">
      <c r="A186">
        <v>125</v>
      </c>
      <c r="B186" vm="25">
        <v>45801</v>
      </c>
      <c r="C186" t="str">
        <v>Software Subscription</v>
      </c>
      <c r="D186" t="str">
        <v>Expense</v>
      </c>
      <c r="E186" t="str">
        <v>Administrative</v>
      </c>
      <c r="F186" vm="3">
        <v>0</v>
      </c>
      <c r="G186" vm="3">
        <v>0</v>
      </c>
      <c r="H186">
        <v>919</v>
      </c>
      <c r="I186" t="str">
        <v>N/A</v>
      </c>
      <c r="J186" t="str">
        <v>N/A</v>
      </c>
      <c r="K186" vm="37">
        <v>45808</v>
      </c>
    </row>
    <row r="187" spans="1:11">
      <c r="A187">
        <v>128</v>
      </c>
      <c r="B187" vm="25">
        <v>45801</v>
      </c>
      <c r="C187" t="str">
        <v>Travel and Entertainment</v>
      </c>
      <c r="D187" t="str">
        <v>Expense</v>
      </c>
      <c r="E187" t="str">
        <v>Administrative</v>
      </c>
      <c r="F187" vm="3">
        <v>0</v>
      </c>
      <c r="G187" vm="3">
        <v>0</v>
      </c>
      <c r="H187">
        <v>535</v>
      </c>
      <c r="I187" t="str">
        <v>N/A</v>
      </c>
      <c r="J187" t="str">
        <v>N/A</v>
      </c>
      <c r="K187" vm="37">
        <v>45808</v>
      </c>
    </row>
    <row r="190" spans="1:11" ht="18.75">
      <c r="A190" s="7" t="s">
        <v>159</v>
      </c>
    </row>
    <row r="191" spans="1:11">
      <c r="A191" t="e" cm="1" vm="38">
        <f t="array" ref="A191">_xlfn._xlws.PY(13,1)</f>
        <v>#VALUE!</v>
      </c>
    </row>
    <row r="193" spans="1:11" ht="15.75">
      <c r="A193" s="8" t="s">
        <v>149</v>
      </c>
    </row>
    <row r="194" spans="1:11">
      <c r="A194" t="str" cm="1">
        <f t="array" ref="A194:K203">IFERROR(_FV(A191,"arrayPreview"),_xlfn._DF_Python_str(A191))</f>
        <v/>
      </c>
      <c r="B194" t="str">
        <v>Date</v>
      </c>
      <c r="C194" t="str">
        <v>Item</v>
      </c>
      <c r="D194" t="str">
        <v>Type</v>
      </c>
      <c r="E194" t="str">
        <v>Subtype</v>
      </c>
      <c r="F194" t="str">
        <v>Quantity</v>
      </c>
      <c r="G194" t="str">
        <v>Per Unit Price</v>
      </c>
      <c r="H194" t="str">
        <v>Total Price</v>
      </c>
      <c r="I194" t="str">
        <v>Client Name</v>
      </c>
      <c r="J194" t="str">
        <v>Client City</v>
      </c>
      <c r="K194" t="str">
        <v>Payment Due Date</v>
      </c>
    </row>
    <row r="195" spans="1:11">
      <c r="A195">
        <v>22</v>
      </c>
      <c r="B195" vm="8">
        <v>45781</v>
      </c>
      <c r="C195" t="str">
        <v>Purchase of fabric</v>
      </c>
      <c r="D195" t="str">
        <v>Expense</v>
      </c>
      <c r="E195" t="str">
        <v>COGS</v>
      </c>
      <c r="F195">
        <v>20</v>
      </c>
      <c r="G195">
        <v>5</v>
      </c>
      <c r="H195">
        <v>100</v>
      </c>
      <c r="I195" t="str">
        <v>N/A</v>
      </c>
      <c r="J195" t="str">
        <v>N/A</v>
      </c>
      <c r="K195" vm="39">
        <v>45791</v>
      </c>
    </row>
    <row r="196" spans="1:11">
      <c r="A196">
        <v>28</v>
      </c>
      <c r="B196" vm="9">
        <v>45782</v>
      </c>
      <c r="C196" t="str">
        <v>Purchase of Cutlery</v>
      </c>
      <c r="D196" t="str">
        <v>Expense</v>
      </c>
      <c r="E196" t="str">
        <v>COGS</v>
      </c>
      <c r="F196">
        <v>100</v>
      </c>
      <c r="G196">
        <v>5</v>
      </c>
      <c r="H196">
        <v>500</v>
      </c>
      <c r="I196" t="str">
        <v>N/A</v>
      </c>
      <c r="J196" t="str">
        <v>N/A</v>
      </c>
      <c r="K196" vm="40">
        <v>45792</v>
      </c>
    </row>
    <row r="197" spans="1:11">
      <c r="A197">
        <v>34</v>
      </c>
      <c r="B197" vm="30">
        <v>45783</v>
      </c>
      <c r="C197" t="str">
        <v>Purchase of Wood</v>
      </c>
      <c r="D197" t="str">
        <v>Expense</v>
      </c>
      <c r="E197" t="str">
        <v>COGS</v>
      </c>
      <c r="F197">
        <v>10</v>
      </c>
      <c r="G197">
        <v>8</v>
      </c>
      <c r="H197">
        <v>80</v>
      </c>
      <c r="I197" t="str">
        <v>N/A</v>
      </c>
      <c r="J197" t="str">
        <v>N/A</v>
      </c>
      <c r="K197" vm="41">
        <v>45793</v>
      </c>
    </row>
    <row r="198" spans="1:11">
      <c r="A198">
        <v>87</v>
      </c>
      <c r="B198" vm="31">
        <v>45795</v>
      </c>
      <c r="C198" t="str">
        <v>Purchase of chairs</v>
      </c>
      <c r="D198" t="str">
        <v>Expense</v>
      </c>
      <c r="E198" t="str">
        <v>COGS</v>
      </c>
      <c r="F198">
        <v>40</v>
      </c>
      <c r="G198">
        <v>12</v>
      </c>
      <c r="H198">
        <v>480</v>
      </c>
      <c r="I198" t="str">
        <v>N/A</v>
      </c>
      <c r="J198" t="str">
        <v>N/A</v>
      </c>
      <c r="K198" vm="14">
        <v>45805</v>
      </c>
    </row>
    <row r="199" spans="1:11">
      <c r="A199">
        <v>90</v>
      </c>
      <c r="B199" vm="31">
        <v>45795</v>
      </c>
      <c r="C199" t="str">
        <v>Purchase of fabric</v>
      </c>
      <c r="D199" t="str">
        <v>Expense</v>
      </c>
      <c r="E199" t="str">
        <v>COGS</v>
      </c>
      <c r="F199">
        <v>50</v>
      </c>
      <c r="G199">
        <v>3</v>
      </c>
      <c r="H199">
        <v>150</v>
      </c>
      <c r="I199" t="str">
        <v>N/A</v>
      </c>
      <c r="J199" t="str">
        <v>N/A</v>
      </c>
      <c r="K199" vm="14">
        <v>45805</v>
      </c>
    </row>
    <row r="200" spans="1:11">
      <c r="A200">
        <v>112</v>
      </c>
      <c r="B200" vm="27">
        <v>45799</v>
      </c>
      <c r="C200" t="str">
        <v>Purchase of décor items</v>
      </c>
      <c r="D200" t="str">
        <v>Expense</v>
      </c>
      <c r="E200" t="str">
        <v>COGS</v>
      </c>
      <c r="F200">
        <v>50</v>
      </c>
      <c r="G200">
        <v>12</v>
      </c>
      <c r="H200">
        <v>600</v>
      </c>
      <c r="I200" t="str">
        <v>N/A</v>
      </c>
      <c r="J200" t="str">
        <v>N/A</v>
      </c>
      <c r="K200" vm="42">
        <v>45809</v>
      </c>
    </row>
    <row r="201" spans="1:11">
      <c r="A201">
        <v>120</v>
      </c>
      <c r="B201" vm="28">
        <v>45800</v>
      </c>
      <c r="C201" t="str">
        <v>Purchase of décor items</v>
      </c>
      <c r="D201" t="str">
        <v>Expense</v>
      </c>
      <c r="E201" t="str">
        <v>COGS</v>
      </c>
      <c r="F201">
        <v>50</v>
      </c>
      <c r="G201">
        <v>10</v>
      </c>
      <c r="H201">
        <v>500</v>
      </c>
      <c r="I201" t="str">
        <v>N/A</v>
      </c>
      <c r="J201" t="str">
        <v>N/A</v>
      </c>
      <c r="K201" vm="43">
        <v>45810</v>
      </c>
    </row>
    <row r="202" spans="1:11">
      <c r="A202">
        <v>122</v>
      </c>
      <c r="B202" vm="28">
        <v>45800</v>
      </c>
      <c r="C202" t="str">
        <v>Purchase of steps</v>
      </c>
      <c r="D202" t="str">
        <v>Expense</v>
      </c>
      <c r="E202" t="str">
        <v>COGS</v>
      </c>
      <c r="F202">
        <v>20</v>
      </c>
      <c r="G202">
        <v>5</v>
      </c>
      <c r="H202">
        <v>100</v>
      </c>
      <c r="I202" t="str">
        <v>N/A</v>
      </c>
      <c r="J202" t="str">
        <v>N/A</v>
      </c>
      <c r="K202" vm="43">
        <v>45810</v>
      </c>
    </row>
    <row r="203" spans="1:11">
      <c r="A203">
        <v>144</v>
      </c>
      <c r="B203" vm="10">
        <v>45806</v>
      </c>
      <c r="C203" t="str">
        <v>Purchase-balloons</v>
      </c>
      <c r="D203" t="str">
        <v>Expense</v>
      </c>
      <c r="E203" t="str">
        <v>COGS</v>
      </c>
      <c r="F203">
        <v>1000</v>
      </c>
      <c r="G203">
        <v>1.5</v>
      </c>
      <c r="H203">
        <v>1500</v>
      </c>
      <c r="I203" t="str">
        <v>N/A</v>
      </c>
      <c r="J203" t="str">
        <v>N/A</v>
      </c>
      <c r="K203" vm="21">
        <v>45816</v>
      </c>
    </row>
    <row r="206" spans="1:11" ht="18.75">
      <c r="A206" s="7" t="s">
        <v>159</v>
      </c>
    </row>
    <row r="207" spans="1:11">
      <c r="A207" t="e" cm="1" vm="44">
        <f t="array" ref="A207">_xlfn._xlws.PY(14,1)</f>
        <v>#VALUE!</v>
      </c>
    </row>
    <row r="209" spans="1:11" ht="15.75">
      <c r="A209" s="8" t="s">
        <v>149</v>
      </c>
    </row>
    <row r="210" spans="1:11">
      <c r="A210" t="str" cm="1">
        <f t="array" ref="A210:K221">IFERROR(_FV(A207,"arrayPreview"),_xlfn._DF_Python_str(A207))</f>
        <v/>
      </c>
      <c r="B210" t="str">
        <v>Date</v>
      </c>
      <c r="C210" t="str">
        <v>Item</v>
      </c>
      <c r="D210" t="str">
        <v>Type</v>
      </c>
      <c r="E210" t="str">
        <v>Subtype</v>
      </c>
      <c r="F210" t="str">
        <v>Quantity</v>
      </c>
      <c r="G210" t="str">
        <v>Per Unit Price</v>
      </c>
      <c r="H210" t="str">
        <v>Total Price</v>
      </c>
      <c r="I210" t="str">
        <v>Client Name</v>
      </c>
      <c r="J210" t="str">
        <v>Client City</v>
      </c>
      <c r="K210" t="str">
        <v>Payment Due Date</v>
      </c>
    </row>
    <row r="211" spans="1:11">
      <c r="A211">
        <v>3</v>
      </c>
      <c r="B211" vm="2">
        <v>45778</v>
      </c>
      <c r="C211" t="str">
        <v>Vendor Payment - Flowers</v>
      </c>
      <c r="D211" t="str">
        <v>Expense</v>
      </c>
      <c r="E211" t="str">
        <v>Event cost</v>
      </c>
      <c r="F211" vm="3">
        <v>0</v>
      </c>
      <c r="G211" vm="3">
        <v>0</v>
      </c>
      <c r="H211">
        <v>338</v>
      </c>
      <c r="I211" t="str">
        <v>AAA Party Rentals</v>
      </c>
      <c r="J211" t="str">
        <v>N/A</v>
      </c>
      <c r="K211" vm="41">
        <v>45793</v>
      </c>
    </row>
    <row r="212" spans="1:11">
      <c r="A212">
        <v>7</v>
      </c>
      <c r="B212" vm="2">
        <v>45778</v>
      </c>
      <c r="C212" t="str">
        <v>Transportation Cost</v>
      </c>
      <c r="D212" t="str">
        <v>Expense</v>
      </c>
      <c r="E212" t="str">
        <v>Event cost</v>
      </c>
      <c r="F212" vm="3">
        <v>0</v>
      </c>
      <c r="G212" vm="3">
        <v>0</v>
      </c>
      <c r="H212">
        <v>219</v>
      </c>
      <c r="I212" t="str">
        <v>N/A</v>
      </c>
      <c r="J212" t="str">
        <v>N/A</v>
      </c>
      <c r="K212" vm="41">
        <v>45793</v>
      </c>
    </row>
    <row r="213" spans="1:11">
      <c r="A213">
        <v>10</v>
      </c>
      <c r="B213" vm="7">
        <v>45779</v>
      </c>
      <c r="C213" t="str">
        <v>Vendor Payment - Flowers</v>
      </c>
      <c r="D213" t="str">
        <v>Expense</v>
      </c>
      <c r="E213" t="str">
        <v>Event cost</v>
      </c>
      <c r="F213" vm="3">
        <v>0</v>
      </c>
      <c r="G213" vm="3">
        <v>0</v>
      </c>
      <c r="H213">
        <v>93</v>
      </c>
      <c r="I213" t="str">
        <v>AAA Party Rentals</v>
      </c>
      <c r="J213" t="str">
        <v>N/A</v>
      </c>
      <c r="K213" vm="45">
        <v>45794</v>
      </c>
    </row>
    <row r="214" spans="1:11">
      <c r="A214">
        <v>15</v>
      </c>
      <c r="B214" vm="12">
        <v>45780</v>
      </c>
      <c r="C214" t="str">
        <v>Vendor Payment - Catering</v>
      </c>
      <c r="D214" t="str">
        <v>Expense</v>
      </c>
      <c r="E214" t="str">
        <v>Event cost</v>
      </c>
      <c r="F214" vm="3">
        <v>0</v>
      </c>
      <c r="G214" vm="3">
        <v>0</v>
      </c>
      <c r="H214">
        <v>402</v>
      </c>
      <c r="I214" t="str">
        <v>Better Catering</v>
      </c>
      <c r="J214" t="str">
        <v>N/A</v>
      </c>
      <c r="K214" vm="31">
        <v>45795</v>
      </c>
    </row>
    <row r="215" spans="1:11">
      <c r="A215">
        <v>19</v>
      </c>
      <c r="B215" vm="8">
        <v>45781</v>
      </c>
      <c r="C215" t="str">
        <v>Vendor Payment - Catering</v>
      </c>
      <c r="D215" t="str">
        <v>Expense</v>
      </c>
      <c r="E215" t="str">
        <v>Event cost</v>
      </c>
      <c r="F215" vm="3">
        <v>0</v>
      </c>
      <c r="G215" vm="3">
        <v>0</v>
      </c>
      <c r="H215">
        <v>1136</v>
      </c>
      <c r="I215" t="str">
        <v>N/A</v>
      </c>
      <c r="J215" t="str">
        <v>N/A</v>
      </c>
      <c r="K215" vm="46">
        <v>45796</v>
      </c>
    </row>
    <row r="216" spans="1:11">
      <c r="A216" t="str">
        <v>...</v>
      </c>
      <c r="B216" t="str">
        <v>...</v>
      </c>
      <c r="C216" t="str">
        <v>...</v>
      </c>
      <c r="D216" t="str">
        <v>...</v>
      </c>
      <c r="E216" t="str">
        <v>...</v>
      </c>
      <c r="F216" t="str">
        <v>...</v>
      </c>
      <c r="G216" t="str">
        <v>...</v>
      </c>
      <c r="H216" t="str">
        <v>...</v>
      </c>
      <c r="I216" t="str">
        <v>...</v>
      </c>
      <c r="J216" t="str">
        <v>...</v>
      </c>
      <c r="K216" t="str">
        <v>...</v>
      </c>
    </row>
    <row r="217" spans="1:11">
      <c r="A217">
        <v>127</v>
      </c>
      <c r="B217" vm="25">
        <v>45801</v>
      </c>
      <c r="C217" t="str">
        <v>Transportation Cost</v>
      </c>
      <c r="D217" t="str">
        <v>Expense</v>
      </c>
      <c r="E217" t="str">
        <v>Event cost</v>
      </c>
      <c r="F217" vm="3">
        <v>0</v>
      </c>
      <c r="G217" vm="3">
        <v>0</v>
      </c>
      <c r="H217">
        <v>792</v>
      </c>
      <c r="I217" t="str">
        <v>N/A</v>
      </c>
      <c r="J217" t="str">
        <v>N/A</v>
      </c>
      <c r="K217" vm="21">
        <v>45816</v>
      </c>
    </row>
    <row r="218" spans="1:11">
      <c r="A218">
        <v>132</v>
      </c>
      <c r="B218" vm="13">
        <v>45804</v>
      </c>
      <c r="C218" t="str">
        <v>Vendor Payment - Flowers</v>
      </c>
      <c r="D218" t="str">
        <v>Expense</v>
      </c>
      <c r="E218" t="str">
        <v>Event cost</v>
      </c>
      <c r="F218" vm="3">
        <v>0</v>
      </c>
      <c r="G218" vm="3">
        <v>0</v>
      </c>
      <c r="H218">
        <v>1483</v>
      </c>
      <c r="I218" t="str">
        <v>All Flower Inc.</v>
      </c>
      <c r="J218" t="str">
        <v>N/A</v>
      </c>
      <c r="K218" vm="47">
        <v>45819</v>
      </c>
    </row>
    <row r="219" spans="1:11">
      <c r="A219">
        <v>140</v>
      </c>
      <c r="B219" vm="10">
        <v>45806</v>
      </c>
      <c r="C219" t="str">
        <v>Venue Rental</v>
      </c>
      <c r="D219" t="str">
        <v>Expense</v>
      </c>
      <c r="E219" t="str">
        <v>Event cost</v>
      </c>
      <c r="F219" vm="3">
        <v>0</v>
      </c>
      <c r="G219" vm="3">
        <v>0</v>
      </c>
      <c r="H219">
        <v>655</v>
      </c>
      <c r="I219" t="str">
        <v>N/A</v>
      </c>
      <c r="J219" t="str">
        <v>N/A</v>
      </c>
      <c r="K219" vm="48">
        <v>45821</v>
      </c>
    </row>
    <row r="220" spans="1:11">
      <c r="A220">
        <v>147</v>
      </c>
      <c r="B220" vm="4">
        <v>45807</v>
      </c>
      <c r="C220" t="str">
        <v>Vendor Payment - Flowers</v>
      </c>
      <c r="D220" t="str">
        <v>Expense</v>
      </c>
      <c r="E220" t="str">
        <v>Event cost</v>
      </c>
      <c r="F220" vm="3">
        <v>0</v>
      </c>
      <c r="G220" vm="3">
        <v>0</v>
      </c>
      <c r="H220">
        <v>1328</v>
      </c>
      <c r="I220" t="str">
        <v>AAA Party Rentals</v>
      </c>
      <c r="J220" t="str">
        <v>N/A</v>
      </c>
      <c r="K220" vm="49">
        <v>45822</v>
      </c>
    </row>
    <row r="221" spans="1:11">
      <c r="A221">
        <v>148</v>
      </c>
      <c r="B221" vm="4">
        <v>45807</v>
      </c>
      <c r="C221" t="str">
        <v>Vendor Payment - Catering</v>
      </c>
      <c r="D221" t="str">
        <v>Expense</v>
      </c>
      <c r="E221" t="str">
        <v>Event cost</v>
      </c>
      <c r="F221" vm="3">
        <v>0</v>
      </c>
      <c r="G221" vm="3">
        <v>0</v>
      </c>
      <c r="H221">
        <v>351</v>
      </c>
      <c r="I221" t="str">
        <v>Better Catering</v>
      </c>
      <c r="J221" t="str">
        <v>N/A</v>
      </c>
      <c r="K221" vm="49">
        <v>45822</v>
      </c>
    </row>
    <row r="224" spans="1:11" ht="18.75">
      <c r="A224" s="7" t="s">
        <v>160</v>
      </c>
    </row>
    <row r="225" spans="1:3">
      <c r="A225" t="e" cm="1" vm="50">
        <f t="array" ref="A225">_xlfn._xlws.PY(15,1)</f>
        <v>#VALUE!</v>
      </c>
    </row>
    <row r="227" spans="1:3" ht="15.75">
      <c r="A227" s="8" t="s">
        <v>149</v>
      </c>
    </row>
    <row r="228" spans="1:3">
      <c r="A228" cm="1">
        <f t="array" ref="A228:A230">IFERROR(_FV(A225,"arrayPreview"),_xlfn._DF_Python_str(A225))</f>
        <v>16293</v>
      </c>
    </row>
    <row r="229" spans="1:3">
      <c r="A229">
        <v>4010</v>
      </c>
    </row>
    <row r="230" spans="1:3">
      <c r="A230">
        <v>21228</v>
      </c>
    </row>
    <row r="233" spans="1:3" ht="18.75">
      <c r="A233" s="7" t="s">
        <v>161</v>
      </c>
    </row>
    <row r="234" spans="1:3">
      <c r="A234" t="e" cm="1" vm="51">
        <f t="array" ref="A234">_xlfn._xlws.PY(16,1)</f>
        <v>#VALUE!</v>
      </c>
    </row>
    <row r="236" spans="1:3" ht="15.75">
      <c r="A236" s="8" t="s">
        <v>149</v>
      </c>
    </row>
    <row r="237" spans="1:3">
      <c r="A237" t="str" cm="1">
        <f t="array" ref="A237:C242">IFERROR(_FV(A234,"arrayPreview"),_xlfn._DF_Python_str(A234))</f>
        <v/>
      </c>
      <c r="B237" t="str">
        <v>Category</v>
      </c>
      <c r="C237" t="str">
        <v>Total Amount</v>
      </c>
    </row>
    <row r="238" spans="1:3">
      <c r="A238">
        <v>0</v>
      </c>
      <c r="B238" t="str">
        <v>Income Advance</v>
      </c>
      <c r="C238" s="3">
        <v>20411.399999999998</v>
      </c>
    </row>
    <row r="239" spans="1:3">
      <c r="A239">
        <v>1</v>
      </c>
      <c r="B239" t="str">
        <v>Income Due</v>
      </c>
      <c r="C239" s="3">
        <v>47626.599999999991</v>
      </c>
    </row>
    <row r="240" spans="1:3">
      <c r="A240">
        <v>2</v>
      </c>
      <c r="B240" t="str">
        <v>Expense Admin (7 days)</v>
      </c>
      <c r="C240" s="3">
        <v>16293</v>
      </c>
    </row>
    <row r="241" spans="1:3">
      <c r="A241">
        <v>3</v>
      </c>
      <c r="B241" t="str">
        <v>Expense COGS (10 days)</v>
      </c>
      <c r="C241" s="3">
        <v>4010</v>
      </c>
    </row>
    <row r="242" spans="1:3">
      <c r="A242">
        <v>4</v>
      </c>
      <c r="B242" t="str">
        <v>Expense Event (15 days)</v>
      </c>
      <c r="C242" s="3">
        <v>21228</v>
      </c>
    </row>
    <row r="245" spans="1:3" ht="18.75">
      <c r="A245" s="7" t="s">
        <v>162</v>
      </c>
    </row>
    <row r="246" spans="1:3">
      <c r="A246" t="e" cm="1" vm="52">
        <f t="array" ref="A246">_xlfn._xlws.PY(17,1)</f>
        <v>#VALUE!</v>
      </c>
    </row>
    <row r="265" spans="1:1" ht="18.75">
      <c r="A265" s="7" t="s">
        <v>163</v>
      </c>
    </row>
    <row r="266" spans="1:1">
      <c r="A266" t="e" cm="1" vm="53">
        <f t="array" ref="A266">_xlfn._xlws.PY(18,1)</f>
        <v>#VALUE!</v>
      </c>
    </row>
    <row r="285" spans="1:1" ht="18.75">
      <c r="A285" s="7" t="s">
        <v>164</v>
      </c>
    </row>
    <row r="286" spans="1:1">
      <c r="A286" t="e" cm="1" vm="54">
        <f t="array" ref="A286">_xlfn._xlws.PY(19,1)</f>
        <v>#VALUE!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82D4-5861-465E-8B64-09F9C41519A6}">
  <dimension ref="A1:M44"/>
  <sheetViews>
    <sheetView topLeftCell="A4" workbookViewId="0">
      <selection activeCell="B13" sqref="B13"/>
    </sheetView>
  </sheetViews>
  <sheetFormatPr defaultRowHeight="15"/>
  <cols>
    <col min="3" max="3" width="15.42578125" style="10" bestFit="1" customWidth="1"/>
    <col min="6" max="7" width="0" hidden="1" customWidth="1"/>
    <col min="8" max="8" width="10.5703125" style="3" bestFit="1" customWidth="1"/>
    <col min="9" max="9" width="11.5703125" style="10" customWidth="1"/>
    <col min="10" max="10" width="12" style="10" customWidth="1"/>
    <col min="11" max="11" width="17" bestFit="1" customWidth="1"/>
    <col min="12" max="12" width="12.85546875" bestFit="1" customWidth="1"/>
    <col min="13" max="13" width="17.7109375" bestFit="1" customWidth="1"/>
  </cols>
  <sheetData>
    <row r="1" spans="1:13" ht="18.75">
      <c r="A1" s="9" t="s">
        <v>153</v>
      </c>
    </row>
    <row r="3" spans="1:13" ht="30">
      <c r="A3" s="11" t="str" cm="1">
        <f t="array" ref="A3:M44">_xlfn._xlws.PY(20,0,Analysis1!$A$68)</f>
        <v/>
      </c>
      <c r="B3" s="11" t="str">
        <v>Date</v>
      </c>
      <c r="C3" s="12" t="str">
        <v>Item</v>
      </c>
      <c r="D3" s="11" t="str">
        <v>Type</v>
      </c>
      <c r="E3" s="11" t="str">
        <v>Subtype</v>
      </c>
      <c r="F3" s="11" t="str">
        <v>Quantity</v>
      </c>
      <c r="G3" s="11" t="str">
        <v>Per Unit Price</v>
      </c>
      <c r="H3" s="13" t="str">
        <v>Total Price</v>
      </c>
      <c r="I3" s="12" t="str">
        <v>Client Name</v>
      </c>
      <c r="J3" s="12" t="str">
        <v>Client City</v>
      </c>
      <c r="K3" s="11" t="str">
        <v>Advance Payment</v>
      </c>
      <c r="L3" s="11" t="str">
        <v>Due Payment</v>
      </c>
      <c r="M3" s="11" t="str">
        <v>Due Payment Date</v>
      </c>
    </row>
    <row r="4" spans="1:13" ht="30">
      <c r="A4">
        <v>1</v>
      </c>
      <c r="B4" vm="2">
        <v>45778</v>
      </c>
      <c r="C4" s="10" t="str">
        <v>Birthday</v>
      </c>
      <c r="D4" t="str">
        <v>Income</v>
      </c>
      <c r="E4" t="str">
        <v>Service</v>
      </c>
      <c r="F4" t="e">
        <v>#NUM!</v>
      </c>
      <c r="G4" t="e">
        <v>#NUM!</v>
      </c>
      <c r="H4" s="3">
        <v>2700</v>
      </c>
      <c r="I4" s="10" t="str">
        <v>John Smith</v>
      </c>
      <c r="J4" s="10" t="str">
        <v>Frederick</v>
      </c>
      <c r="K4" s="3">
        <v>810</v>
      </c>
      <c r="L4" s="3">
        <v>1889.9999999999998</v>
      </c>
      <c r="M4" vm="16">
        <v>45788</v>
      </c>
    </row>
    <row r="5" spans="1:13" ht="30">
      <c r="A5">
        <v>5</v>
      </c>
      <c r="B5" vm="2">
        <v>45778</v>
      </c>
      <c r="C5" s="10" t="str">
        <v>Corporate Event</v>
      </c>
      <c r="D5" t="str">
        <v>Income</v>
      </c>
      <c r="E5" t="str">
        <v>Service</v>
      </c>
      <c r="F5" t="e">
        <v>#NUM!</v>
      </c>
      <c r="G5" t="e">
        <v>#NUM!</v>
      </c>
      <c r="H5" s="3">
        <v>805</v>
      </c>
      <c r="I5" s="10" t="str">
        <v>Michael Lee</v>
      </c>
      <c r="J5" s="10" t="str">
        <v>Towson</v>
      </c>
      <c r="K5" s="3">
        <v>241.5</v>
      </c>
      <c r="L5" s="3">
        <v>563.5</v>
      </c>
      <c r="M5" vm="16">
        <v>45788</v>
      </c>
    </row>
    <row r="6" spans="1:13" ht="30">
      <c r="A6">
        <v>8</v>
      </c>
      <c r="B6" vm="7">
        <v>45779</v>
      </c>
      <c r="C6" s="10" t="str">
        <v>Birthday</v>
      </c>
      <c r="D6" t="str">
        <v>Income</v>
      </c>
      <c r="E6" t="str">
        <v>Service</v>
      </c>
      <c r="F6" t="e">
        <v>#NUM!</v>
      </c>
      <c r="G6" t="e">
        <v>#NUM!</v>
      </c>
      <c r="H6" s="3">
        <v>1416</v>
      </c>
      <c r="I6" s="10" t="str">
        <v>Emma Davis</v>
      </c>
      <c r="J6" s="10" t="str">
        <v>Annapolis</v>
      </c>
      <c r="K6" s="3">
        <v>424.8</v>
      </c>
      <c r="L6" s="3">
        <v>991.19999999999993</v>
      </c>
      <c r="M6" vm="17">
        <v>45789</v>
      </c>
    </row>
    <row r="7" spans="1:13" ht="30">
      <c r="A7">
        <v>9</v>
      </c>
      <c r="B7" vm="7">
        <v>45779</v>
      </c>
      <c r="C7" s="10" t="str">
        <v>Birthday</v>
      </c>
      <c r="D7" t="str">
        <v>Income</v>
      </c>
      <c r="E7" t="str">
        <v>Service</v>
      </c>
      <c r="F7" t="e">
        <v>#NUM!</v>
      </c>
      <c r="G7" t="e">
        <v>#NUM!</v>
      </c>
      <c r="H7" s="3">
        <v>2050</v>
      </c>
      <c r="I7" s="10" t="str">
        <v>David Kim</v>
      </c>
      <c r="J7" s="10" t="str">
        <v>Baltimore</v>
      </c>
      <c r="K7" s="3">
        <v>615</v>
      </c>
      <c r="L7" s="3">
        <v>1435</v>
      </c>
      <c r="M7" vm="17">
        <v>45789</v>
      </c>
    </row>
    <row r="8" spans="1:13" ht="30">
      <c r="A8">
        <v>12</v>
      </c>
      <c r="B8" vm="12">
        <v>45780</v>
      </c>
      <c r="C8" s="10" t="str">
        <v>Birthday</v>
      </c>
      <c r="D8" t="str">
        <v>Income</v>
      </c>
      <c r="E8" t="str">
        <v>Service</v>
      </c>
      <c r="F8" t="e">
        <v>#NUM!</v>
      </c>
      <c r="G8" t="e">
        <v>#NUM!</v>
      </c>
      <c r="H8" s="3">
        <v>1166</v>
      </c>
      <c r="I8" s="10" t="str">
        <v>Emma Davis</v>
      </c>
      <c r="J8" s="10" t="str">
        <v>Annapolis</v>
      </c>
      <c r="K8" s="3">
        <v>349.8</v>
      </c>
      <c r="L8" s="3">
        <v>816.19999999999993</v>
      </c>
      <c r="M8" vm="18">
        <v>45790</v>
      </c>
    </row>
    <row r="9" spans="1:13" ht="30">
      <c r="A9">
        <v>13</v>
      </c>
      <c r="B9" vm="12">
        <v>45780</v>
      </c>
      <c r="C9" s="10" t="str">
        <v>Birthday</v>
      </c>
      <c r="D9" t="str">
        <v>Income</v>
      </c>
      <c r="E9" t="str">
        <v>Service</v>
      </c>
      <c r="F9" t="e">
        <v>#NUM!</v>
      </c>
      <c r="G9" t="e">
        <v>#NUM!</v>
      </c>
      <c r="H9" s="3">
        <v>2510</v>
      </c>
      <c r="I9" s="10" t="str">
        <v>Michael Lee</v>
      </c>
      <c r="J9" s="10" t="str">
        <v>Annapolis</v>
      </c>
      <c r="K9" s="3">
        <v>753</v>
      </c>
      <c r="L9" s="3">
        <v>1757</v>
      </c>
      <c r="M9" vm="18">
        <v>45790</v>
      </c>
    </row>
    <row r="10" spans="1:13" ht="30">
      <c r="A10">
        <v>23</v>
      </c>
      <c r="B10" vm="9">
        <v>45782</v>
      </c>
      <c r="C10" s="10" t="str">
        <v>Anniversary</v>
      </c>
      <c r="D10" t="str">
        <v>Income</v>
      </c>
      <c r="E10" t="str">
        <v>Service</v>
      </c>
      <c r="F10" t="e">
        <v>#NUM!</v>
      </c>
      <c r="G10" t="e">
        <v>#NUM!</v>
      </c>
      <c r="H10" s="3">
        <v>2880</v>
      </c>
      <c r="I10" s="10" t="str">
        <v>Emily Clark</v>
      </c>
      <c r="J10" s="10" t="str">
        <v>Towson</v>
      </c>
      <c r="K10" s="3">
        <v>864</v>
      </c>
      <c r="L10" s="3">
        <v>2015.9999999999998</v>
      </c>
      <c r="M10" vm="40">
        <v>45792</v>
      </c>
    </row>
    <row r="11" spans="1:13" ht="30">
      <c r="A11">
        <v>31</v>
      </c>
      <c r="B11" vm="30">
        <v>45783</v>
      </c>
      <c r="C11" s="10" t="str">
        <v>Anniversary</v>
      </c>
      <c r="D11" t="str">
        <v>Income</v>
      </c>
      <c r="E11" t="str">
        <v>Service</v>
      </c>
      <c r="F11" t="e">
        <v>#NUM!</v>
      </c>
      <c r="G11" t="e">
        <v>#NUM!</v>
      </c>
      <c r="H11" s="3">
        <v>2191</v>
      </c>
      <c r="I11" s="10" t="str">
        <v>Sarah Johnson</v>
      </c>
      <c r="J11" s="10" t="str">
        <v>Rockville</v>
      </c>
      <c r="K11" s="3">
        <v>657.3</v>
      </c>
      <c r="L11" s="3">
        <v>1533.6999999999998</v>
      </c>
      <c r="M11" vm="41">
        <v>45793</v>
      </c>
    </row>
    <row r="12" spans="1:13" ht="30">
      <c r="A12">
        <v>36</v>
      </c>
      <c r="B12" vm="30">
        <v>45783</v>
      </c>
      <c r="C12" s="10" t="str">
        <v>Baby Shower</v>
      </c>
      <c r="D12" t="str">
        <v>Income</v>
      </c>
      <c r="E12" t="str">
        <v>Service</v>
      </c>
      <c r="F12" t="e">
        <v>#NUM!</v>
      </c>
      <c r="G12" t="e">
        <v>#NUM!</v>
      </c>
      <c r="H12" s="3">
        <v>934</v>
      </c>
      <c r="I12" s="10" t="str">
        <v>Sarah Johnson</v>
      </c>
      <c r="J12" s="10" t="str">
        <v>Baltimore</v>
      </c>
      <c r="K12" s="3">
        <v>280.2</v>
      </c>
      <c r="L12" s="3">
        <v>653.79999999999995</v>
      </c>
      <c r="M12" vm="41">
        <v>45793</v>
      </c>
    </row>
    <row r="13" spans="1:13">
      <c r="A13">
        <v>37</v>
      </c>
      <c r="B13" vm="30">
        <v>45783</v>
      </c>
      <c r="C13" s="10" t="str">
        <v>Corporate Event</v>
      </c>
      <c r="D13" t="str">
        <v>Income</v>
      </c>
      <c r="E13" t="str">
        <v>Service</v>
      </c>
      <c r="F13" t="e">
        <v>#NUM!</v>
      </c>
      <c r="G13" t="e">
        <v>#NUM!</v>
      </c>
      <c r="H13" s="3">
        <v>1456</v>
      </c>
      <c r="I13" s="10" t="str">
        <v>John Smith</v>
      </c>
      <c r="J13" s="10" t="str">
        <v>Baltimore</v>
      </c>
      <c r="K13" s="3">
        <v>436.8</v>
      </c>
      <c r="L13" s="3">
        <v>1019.1999999999999</v>
      </c>
      <c r="M13" vm="41">
        <v>45793</v>
      </c>
    </row>
    <row r="14" spans="1:13">
      <c r="A14">
        <v>39</v>
      </c>
      <c r="B14" vm="30">
        <v>45783</v>
      </c>
      <c r="C14" s="10" t="str">
        <v>Corporate Event</v>
      </c>
      <c r="D14" t="str">
        <v>Income</v>
      </c>
      <c r="E14" t="str">
        <v>Service</v>
      </c>
      <c r="F14" t="e">
        <v>#NUM!</v>
      </c>
      <c r="G14" t="e">
        <v>#NUM!</v>
      </c>
      <c r="H14" s="3">
        <v>2298</v>
      </c>
      <c r="I14" s="10" t="str">
        <v>Emily Clark</v>
      </c>
      <c r="J14" s="10" t="str">
        <v>Annapolis</v>
      </c>
      <c r="K14" s="3">
        <v>689.4</v>
      </c>
      <c r="L14" s="3">
        <v>1608.6</v>
      </c>
      <c r="M14" vm="41">
        <v>45793</v>
      </c>
    </row>
    <row r="15" spans="1:13">
      <c r="A15">
        <v>41</v>
      </c>
      <c r="B15" vm="30">
        <v>45783</v>
      </c>
      <c r="C15" s="10" t="str">
        <v>Baby Shower</v>
      </c>
      <c r="D15" t="str">
        <v>Income</v>
      </c>
      <c r="E15" t="str">
        <v>Service</v>
      </c>
      <c r="F15" t="e">
        <v>#NUM!</v>
      </c>
      <c r="G15" t="e">
        <v>#NUM!</v>
      </c>
      <c r="H15" s="3">
        <v>662</v>
      </c>
      <c r="I15" s="10" t="str">
        <v>David Kim</v>
      </c>
      <c r="J15" s="10" t="str">
        <v>Rockville</v>
      </c>
      <c r="K15" s="3">
        <v>198.6</v>
      </c>
      <c r="L15" s="3">
        <v>463.4</v>
      </c>
      <c r="M15" vm="41">
        <v>45793</v>
      </c>
    </row>
    <row r="16" spans="1:13">
      <c r="A16">
        <v>42</v>
      </c>
      <c r="B16" vm="30">
        <v>45783</v>
      </c>
      <c r="C16" s="10" t="str">
        <v>Birthday</v>
      </c>
      <c r="D16" t="str">
        <v>Income</v>
      </c>
      <c r="E16" t="str">
        <v>Service</v>
      </c>
      <c r="F16" t="e">
        <v>#NUM!</v>
      </c>
      <c r="G16" t="e">
        <v>#NUM!</v>
      </c>
      <c r="H16" s="3">
        <v>1662</v>
      </c>
      <c r="I16" s="10" t="str">
        <v>John Smith</v>
      </c>
      <c r="J16" s="10" t="str">
        <v>Towson</v>
      </c>
      <c r="K16" s="3">
        <v>498.59999999999997</v>
      </c>
      <c r="L16" s="3">
        <v>1163.3999999999999</v>
      </c>
      <c r="M16" vm="41">
        <v>45793</v>
      </c>
    </row>
    <row r="17" spans="1:13" ht="30">
      <c r="A17">
        <v>43</v>
      </c>
      <c r="B17" vm="30">
        <v>45783</v>
      </c>
      <c r="C17" s="10" t="str">
        <v>Wedding</v>
      </c>
      <c r="D17" t="str">
        <v>Income</v>
      </c>
      <c r="E17" t="str">
        <v>Service</v>
      </c>
      <c r="F17" t="e">
        <v>#NUM!</v>
      </c>
      <c r="G17" t="e">
        <v>#NUM!</v>
      </c>
      <c r="H17" s="3">
        <v>2429</v>
      </c>
      <c r="I17" s="10" t="str">
        <v>Sarah Johnson</v>
      </c>
      <c r="J17" s="10" t="str">
        <v>Rockville</v>
      </c>
      <c r="K17" s="3">
        <v>728.69999999999993</v>
      </c>
      <c r="L17" s="3">
        <v>1700.3</v>
      </c>
      <c r="M17" vm="41">
        <v>45793</v>
      </c>
    </row>
    <row r="18" spans="1:13">
      <c r="A18">
        <v>55</v>
      </c>
      <c r="B18" vm="55">
        <v>45784</v>
      </c>
      <c r="C18" s="10" t="str">
        <v>Wedding</v>
      </c>
      <c r="D18" t="str">
        <v>Income</v>
      </c>
      <c r="E18" t="str">
        <v>Service</v>
      </c>
      <c r="F18" t="e">
        <v>#NUM!</v>
      </c>
      <c r="G18" t="e">
        <v>#NUM!</v>
      </c>
      <c r="H18" s="3">
        <v>2735</v>
      </c>
      <c r="I18" s="10" t="str">
        <v>David Kim</v>
      </c>
      <c r="J18" s="10" t="str">
        <v>Towson</v>
      </c>
      <c r="K18" s="3">
        <v>820.5</v>
      </c>
      <c r="L18" s="3">
        <v>1914.4999999999998</v>
      </c>
      <c r="M18" vm="45">
        <v>45794</v>
      </c>
    </row>
    <row r="19" spans="1:13">
      <c r="A19">
        <v>60</v>
      </c>
      <c r="B19" vm="35">
        <v>45785</v>
      </c>
      <c r="C19" s="10" t="str">
        <v>Wedding</v>
      </c>
      <c r="D19" t="str">
        <v>Income</v>
      </c>
      <c r="E19" t="str">
        <v>Service</v>
      </c>
      <c r="F19" t="e">
        <v>#NUM!</v>
      </c>
      <c r="G19" t="e">
        <v>#NUM!</v>
      </c>
      <c r="H19" s="3">
        <v>2895</v>
      </c>
      <c r="I19" s="10" t="str">
        <v>Emily Clark</v>
      </c>
      <c r="J19" s="10" t="str">
        <v>Rockville</v>
      </c>
      <c r="K19" s="3">
        <v>868.5</v>
      </c>
      <c r="L19" s="3">
        <v>2026.4999999999998</v>
      </c>
      <c r="M19" vm="31">
        <v>45795</v>
      </c>
    </row>
    <row r="20" spans="1:13">
      <c r="A20">
        <v>64</v>
      </c>
      <c r="B20" vm="35">
        <v>45785</v>
      </c>
      <c r="C20" s="10" t="str">
        <v>Birthday</v>
      </c>
      <c r="D20" t="str">
        <v>Income</v>
      </c>
      <c r="E20" t="str">
        <v>Service</v>
      </c>
      <c r="F20" t="e">
        <v>#NUM!</v>
      </c>
      <c r="G20" t="e">
        <v>#NUM!</v>
      </c>
      <c r="H20" s="3">
        <v>2667</v>
      </c>
      <c r="I20" s="10" t="str">
        <v>Michael Lee</v>
      </c>
      <c r="J20" s="10" t="str">
        <v>Annapolis</v>
      </c>
      <c r="K20" s="3">
        <v>800.1</v>
      </c>
      <c r="L20" s="3">
        <v>1866.8999999999999</v>
      </c>
      <c r="M20" vm="31">
        <v>45795</v>
      </c>
    </row>
    <row r="21" spans="1:13">
      <c r="A21">
        <v>67</v>
      </c>
      <c r="B21" vm="35">
        <v>45785</v>
      </c>
      <c r="C21" s="10" t="str">
        <v>Wedding</v>
      </c>
      <c r="D21" t="str">
        <v>Income</v>
      </c>
      <c r="E21" t="str">
        <v>Service</v>
      </c>
      <c r="F21" t="e">
        <v>#NUM!</v>
      </c>
      <c r="G21" t="e">
        <v>#NUM!</v>
      </c>
      <c r="H21" s="3">
        <v>2338</v>
      </c>
      <c r="I21" s="10" t="str">
        <v>John Smith</v>
      </c>
      <c r="J21" s="10" t="str">
        <v>Baltimore</v>
      </c>
      <c r="K21" s="3">
        <v>701.4</v>
      </c>
      <c r="L21" s="3">
        <v>1636.6</v>
      </c>
      <c r="M21" vm="31">
        <v>45795</v>
      </c>
    </row>
    <row r="22" spans="1:13">
      <c r="A22">
        <v>71</v>
      </c>
      <c r="B22" vm="17">
        <v>45789</v>
      </c>
      <c r="C22" s="10" t="str">
        <v>Corporate Event</v>
      </c>
      <c r="D22" t="str">
        <v>Income</v>
      </c>
      <c r="E22" t="str">
        <v>Service</v>
      </c>
      <c r="F22" t="e">
        <v>#NUM!</v>
      </c>
      <c r="G22" t="e">
        <v>#NUM!</v>
      </c>
      <c r="H22" s="3">
        <v>856</v>
      </c>
      <c r="I22" s="10" t="str">
        <v>John Smith</v>
      </c>
      <c r="J22" s="10" t="str">
        <v>Frederick</v>
      </c>
      <c r="K22" s="3">
        <v>256.8</v>
      </c>
      <c r="L22" s="3">
        <v>599.19999999999993</v>
      </c>
      <c r="M22" vm="27">
        <v>45799</v>
      </c>
    </row>
    <row r="23" spans="1:13">
      <c r="A23">
        <v>76</v>
      </c>
      <c r="B23" vm="18">
        <v>45790</v>
      </c>
      <c r="C23" s="10" t="str">
        <v>Baby Shower</v>
      </c>
      <c r="D23" t="str">
        <v>Income</v>
      </c>
      <c r="E23" t="str">
        <v>Service</v>
      </c>
      <c r="F23" t="e">
        <v>#NUM!</v>
      </c>
      <c r="G23" t="e">
        <v>#NUM!</v>
      </c>
      <c r="H23" s="3">
        <v>2034</v>
      </c>
      <c r="I23" s="10" t="str">
        <v>Emily Clark</v>
      </c>
      <c r="J23" s="10" t="str">
        <v>Baltimore</v>
      </c>
      <c r="K23" s="3">
        <v>610.19999999999993</v>
      </c>
      <c r="L23" s="3">
        <v>1423.8</v>
      </c>
      <c r="M23" vm="28">
        <v>45800</v>
      </c>
    </row>
    <row r="24" spans="1:13">
      <c r="A24">
        <v>77</v>
      </c>
      <c r="B24" vm="18">
        <v>45790</v>
      </c>
      <c r="C24" s="10" t="str">
        <v>Corporate Event</v>
      </c>
      <c r="D24" t="str">
        <v>Income</v>
      </c>
      <c r="E24" t="str">
        <v>Service</v>
      </c>
      <c r="F24" t="e">
        <v>#NUM!</v>
      </c>
      <c r="G24" t="e">
        <v>#NUM!</v>
      </c>
      <c r="H24" s="3">
        <v>970</v>
      </c>
      <c r="I24" s="10" t="str">
        <v>Emma Davis</v>
      </c>
      <c r="J24" s="10" t="str">
        <v>Annapolis</v>
      </c>
      <c r="K24" s="3">
        <v>291</v>
      </c>
      <c r="L24" s="3">
        <v>679</v>
      </c>
      <c r="M24" vm="28">
        <v>45800</v>
      </c>
    </row>
    <row r="25" spans="1:13">
      <c r="A25">
        <v>79</v>
      </c>
      <c r="B25" vm="18">
        <v>45790</v>
      </c>
      <c r="C25" s="10" t="str">
        <v>Birthday</v>
      </c>
      <c r="D25" t="str">
        <v>Income</v>
      </c>
      <c r="E25" t="str">
        <v>Service</v>
      </c>
      <c r="F25" t="e">
        <v>#NUM!</v>
      </c>
      <c r="G25" t="e">
        <v>#NUM!</v>
      </c>
      <c r="H25" s="3">
        <v>2970</v>
      </c>
      <c r="I25" s="10" t="str">
        <v>David Kim</v>
      </c>
      <c r="J25" s="10" t="str">
        <v>Rockville</v>
      </c>
      <c r="K25" s="3">
        <v>891</v>
      </c>
      <c r="L25" s="3">
        <v>2079</v>
      </c>
      <c r="M25" vm="28">
        <v>45800</v>
      </c>
    </row>
    <row r="26" spans="1:13" ht="30">
      <c r="A26">
        <v>82</v>
      </c>
      <c r="B26" vm="45">
        <v>45794</v>
      </c>
      <c r="C26" s="10" t="str">
        <v>Baby Shower</v>
      </c>
      <c r="D26" t="str">
        <v>Income</v>
      </c>
      <c r="E26" t="str">
        <v>Service</v>
      </c>
      <c r="F26" t="e">
        <v>#NUM!</v>
      </c>
      <c r="G26" t="e">
        <v>#NUM!</v>
      </c>
      <c r="H26" s="3">
        <v>1307</v>
      </c>
      <c r="I26" s="10" t="str">
        <v>James Wilson</v>
      </c>
      <c r="J26" s="10" t="str">
        <v>Rockville</v>
      </c>
      <c r="K26" s="3">
        <v>392.09999999999997</v>
      </c>
      <c r="L26" s="3">
        <v>914.9</v>
      </c>
      <c r="M26" vm="13">
        <v>45804</v>
      </c>
    </row>
    <row r="27" spans="1:13" ht="30">
      <c r="A27">
        <v>91</v>
      </c>
      <c r="B27" vm="31">
        <v>45795</v>
      </c>
      <c r="C27" s="10" t="str">
        <v>Wedding</v>
      </c>
      <c r="D27" t="str">
        <v>Income</v>
      </c>
      <c r="E27" t="str">
        <v>Service</v>
      </c>
      <c r="F27" t="e">
        <v>#NUM!</v>
      </c>
      <c r="G27" t="e">
        <v>#NUM!</v>
      </c>
      <c r="H27" s="3">
        <v>1007</v>
      </c>
      <c r="I27" s="10" t="str">
        <v>James Wilson</v>
      </c>
      <c r="J27" s="10" t="str">
        <v>Frederick</v>
      </c>
      <c r="K27" s="3">
        <v>302.09999999999997</v>
      </c>
      <c r="L27" s="3">
        <v>704.9</v>
      </c>
      <c r="M27" vm="14">
        <v>45805</v>
      </c>
    </row>
    <row r="28" spans="1:13">
      <c r="A28">
        <v>95</v>
      </c>
      <c r="B28" vm="31">
        <v>45795</v>
      </c>
      <c r="C28" s="10" t="str">
        <v>Anniversary</v>
      </c>
      <c r="D28" t="str">
        <v>Income</v>
      </c>
      <c r="E28" t="str">
        <v>Service</v>
      </c>
      <c r="F28" t="e">
        <v>#NUM!</v>
      </c>
      <c r="G28" t="e">
        <v>#NUM!</v>
      </c>
      <c r="H28" s="3">
        <v>1384</v>
      </c>
      <c r="I28" s="10" t="str">
        <v>John Smith</v>
      </c>
      <c r="J28" s="10" t="str">
        <v>Annapolis</v>
      </c>
      <c r="K28" s="3">
        <v>415.2</v>
      </c>
      <c r="L28" s="3">
        <v>968.8</v>
      </c>
      <c r="M28" vm="14">
        <v>45805</v>
      </c>
    </row>
    <row r="29" spans="1:13">
      <c r="A29">
        <v>96</v>
      </c>
      <c r="B29" vm="31">
        <v>45795</v>
      </c>
      <c r="C29" s="10" t="str">
        <v>Anniversary</v>
      </c>
      <c r="D29" t="str">
        <v>Income</v>
      </c>
      <c r="E29" t="str">
        <v>Service</v>
      </c>
      <c r="F29" t="e">
        <v>#NUM!</v>
      </c>
      <c r="G29" t="e">
        <v>#NUM!</v>
      </c>
      <c r="H29" s="3">
        <v>1546</v>
      </c>
      <c r="I29" s="10" t="str">
        <v>Michael Lee</v>
      </c>
      <c r="J29" s="10" t="str">
        <v>Annapolis</v>
      </c>
      <c r="K29" s="3">
        <v>463.79999999999995</v>
      </c>
      <c r="L29" s="3">
        <v>1082.1999999999998</v>
      </c>
      <c r="M29" vm="14">
        <v>45805</v>
      </c>
    </row>
    <row r="30" spans="1:13">
      <c r="A30">
        <v>97</v>
      </c>
      <c r="B30" vm="31">
        <v>45795</v>
      </c>
      <c r="C30" s="10" t="str">
        <v>Anniversary</v>
      </c>
      <c r="D30" t="str">
        <v>Income</v>
      </c>
      <c r="E30" t="str">
        <v>Service</v>
      </c>
      <c r="F30" t="e">
        <v>#NUM!</v>
      </c>
      <c r="G30" t="e">
        <v>#NUM!</v>
      </c>
      <c r="H30" s="3">
        <v>1586</v>
      </c>
      <c r="I30" s="10" t="str">
        <v>Emily Clark</v>
      </c>
      <c r="J30" s="10" t="str">
        <v>Annapolis</v>
      </c>
      <c r="K30" s="3">
        <v>475.79999999999995</v>
      </c>
      <c r="L30" s="3">
        <v>1110.1999999999998</v>
      </c>
      <c r="M30" vm="14">
        <v>45805</v>
      </c>
    </row>
    <row r="31" spans="1:13">
      <c r="A31">
        <v>98</v>
      </c>
      <c r="B31" vm="31">
        <v>45795</v>
      </c>
      <c r="C31" s="10" t="str">
        <v>Birthday</v>
      </c>
      <c r="D31" t="str">
        <v>Income</v>
      </c>
      <c r="E31" t="str">
        <v>Service</v>
      </c>
      <c r="F31" t="e">
        <v>#NUM!</v>
      </c>
      <c r="G31" t="e">
        <v>#NUM!</v>
      </c>
      <c r="H31" s="3">
        <v>2131</v>
      </c>
      <c r="I31" s="10" t="str">
        <v>Michael Lee</v>
      </c>
      <c r="J31" s="10" t="str">
        <v>Frederick</v>
      </c>
      <c r="K31" s="3">
        <v>639.29999999999995</v>
      </c>
      <c r="L31" s="3">
        <v>1491.6999999999998</v>
      </c>
      <c r="M31" vm="14">
        <v>45805</v>
      </c>
    </row>
    <row r="32" spans="1:13">
      <c r="A32">
        <v>106</v>
      </c>
      <c r="B32" vm="56">
        <v>45798</v>
      </c>
      <c r="C32" s="10" t="str">
        <v>Baby Shower</v>
      </c>
      <c r="D32" t="str">
        <v>Income</v>
      </c>
      <c r="E32" t="str">
        <v>Service</v>
      </c>
      <c r="F32" t="e">
        <v>#NUM!</v>
      </c>
      <c r="G32" t="e">
        <v>#NUM!</v>
      </c>
      <c r="H32" s="3">
        <v>1575</v>
      </c>
      <c r="I32" s="10" t="str">
        <v>Michael Lee</v>
      </c>
      <c r="J32" s="10" t="str">
        <v>Frederick</v>
      </c>
      <c r="K32" s="3">
        <v>472.5</v>
      </c>
      <c r="L32" s="3">
        <v>1102.5</v>
      </c>
      <c r="M32" vm="37">
        <v>45808</v>
      </c>
    </row>
    <row r="33" spans="1:13">
      <c r="A33">
        <v>107</v>
      </c>
      <c r="B33" vm="56">
        <v>45798</v>
      </c>
      <c r="C33" s="10" t="str">
        <v>Anniversary</v>
      </c>
      <c r="D33" t="str">
        <v>Income</v>
      </c>
      <c r="E33" t="str">
        <v>Service</v>
      </c>
      <c r="F33" t="e">
        <v>#NUM!</v>
      </c>
      <c r="G33" t="e">
        <v>#NUM!</v>
      </c>
      <c r="H33" s="3">
        <v>1220</v>
      </c>
      <c r="I33" s="10" t="str">
        <v>John Smith</v>
      </c>
      <c r="J33" s="10" t="str">
        <v>Towson</v>
      </c>
      <c r="K33" s="3">
        <v>366</v>
      </c>
      <c r="L33" s="3">
        <v>854</v>
      </c>
      <c r="M33" vm="37">
        <v>45808</v>
      </c>
    </row>
    <row r="34" spans="1:13" ht="30">
      <c r="A34">
        <v>109</v>
      </c>
      <c r="B34" vm="27">
        <v>45799</v>
      </c>
      <c r="C34" s="10" t="str">
        <v>Birthday</v>
      </c>
      <c r="D34" t="str">
        <v>Income</v>
      </c>
      <c r="E34" t="str">
        <v>Service</v>
      </c>
      <c r="F34" t="e">
        <v>#NUM!</v>
      </c>
      <c r="G34" t="e">
        <v>#NUM!</v>
      </c>
      <c r="H34" s="3">
        <v>1009</v>
      </c>
      <c r="I34" s="10" t="str">
        <v>James Wilson</v>
      </c>
      <c r="J34" s="10" t="str">
        <v>Rockville</v>
      </c>
      <c r="K34" s="3">
        <v>302.7</v>
      </c>
      <c r="L34" s="3">
        <v>706.3</v>
      </c>
      <c r="M34" vm="42">
        <v>45809</v>
      </c>
    </row>
    <row r="35" spans="1:13" ht="30">
      <c r="A35">
        <v>115</v>
      </c>
      <c r="B35" vm="28">
        <v>45800</v>
      </c>
      <c r="C35" s="10" t="str">
        <v>Anniversary</v>
      </c>
      <c r="D35" t="str">
        <v>Income</v>
      </c>
      <c r="E35" t="str">
        <v>Service</v>
      </c>
      <c r="F35" t="e">
        <v>#NUM!</v>
      </c>
      <c r="G35" t="e">
        <v>#NUM!</v>
      </c>
      <c r="H35" s="3">
        <v>577</v>
      </c>
      <c r="I35" s="10" t="str">
        <v>James Wilson</v>
      </c>
      <c r="J35" s="10" t="str">
        <v>Baltimore</v>
      </c>
      <c r="K35" s="3">
        <v>173.1</v>
      </c>
      <c r="L35" s="3">
        <v>403.9</v>
      </c>
      <c r="M35" vm="43">
        <v>45810</v>
      </c>
    </row>
    <row r="36" spans="1:13" ht="30">
      <c r="A36">
        <v>118</v>
      </c>
      <c r="B36" vm="28">
        <v>45800</v>
      </c>
      <c r="C36" s="10" t="str">
        <v>Corporate Event</v>
      </c>
      <c r="D36" t="str">
        <v>Income</v>
      </c>
      <c r="E36" t="str">
        <v>Service</v>
      </c>
      <c r="F36" t="e">
        <v>#NUM!</v>
      </c>
      <c r="G36" t="e">
        <v>#NUM!</v>
      </c>
      <c r="H36" s="3">
        <v>2138</v>
      </c>
      <c r="I36" s="10" t="str">
        <v>James Wilson</v>
      </c>
      <c r="J36" s="10" t="str">
        <v>Annapolis</v>
      </c>
      <c r="K36" s="3">
        <v>641.4</v>
      </c>
      <c r="L36" s="3">
        <v>1496.6</v>
      </c>
      <c r="M36" vm="43">
        <v>45810</v>
      </c>
    </row>
    <row r="37" spans="1:13">
      <c r="A37">
        <v>129</v>
      </c>
      <c r="B37" vm="25">
        <v>45801</v>
      </c>
      <c r="C37" s="10" t="str">
        <v>Corporate Event</v>
      </c>
      <c r="D37" t="str">
        <v>Income</v>
      </c>
      <c r="E37" t="str">
        <v>Service</v>
      </c>
      <c r="F37" t="e">
        <v>#NUM!</v>
      </c>
      <c r="G37" t="e">
        <v>#NUM!</v>
      </c>
      <c r="H37" s="3">
        <v>555</v>
      </c>
      <c r="I37" s="10" t="str">
        <v>David Kim</v>
      </c>
      <c r="J37" s="10" t="str">
        <v>Rockville</v>
      </c>
      <c r="K37" s="3">
        <v>166.5</v>
      </c>
      <c r="L37" s="3">
        <v>388.5</v>
      </c>
      <c r="M37" vm="57">
        <v>45811</v>
      </c>
    </row>
    <row r="38" spans="1:13">
      <c r="A38">
        <v>130</v>
      </c>
      <c r="B38" vm="25">
        <v>45801</v>
      </c>
      <c r="C38" s="10" t="str">
        <v>Corporate Event</v>
      </c>
      <c r="D38" t="str">
        <v>Income</v>
      </c>
      <c r="E38" t="str">
        <v>Service</v>
      </c>
      <c r="F38" t="e">
        <v>#NUM!</v>
      </c>
      <c r="G38" t="e">
        <v>#NUM!</v>
      </c>
      <c r="H38" s="3">
        <v>726</v>
      </c>
      <c r="I38" s="10" t="str">
        <v>Emma Davis</v>
      </c>
      <c r="J38" s="10" t="str">
        <v>Annapolis</v>
      </c>
      <c r="K38" s="3">
        <v>217.79999999999998</v>
      </c>
      <c r="L38" s="3">
        <v>508.2</v>
      </c>
      <c r="M38" vm="57">
        <v>45811</v>
      </c>
    </row>
    <row r="39" spans="1:13">
      <c r="A39">
        <v>133</v>
      </c>
      <c r="B39" vm="13">
        <v>45804</v>
      </c>
      <c r="C39" s="10" t="str">
        <v>Birthday</v>
      </c>
      <c r="D39" t="str">
        <v>Income</v>
      </c>
      <c r="E39" t="str">
        <v>Service</v>
      </c>
      <c r="F39" t="e">
        <v>#NUM!</v>
      </c>
      <c r="G39" t="e">
        <v>#NUM!</v>
      </c>
      <c r="H39" s="3">
        <v>747</v>
      </c>
      <c r="I39" s="10" t="str">
        <v>Emily Clark</v>
      </c>
      <c r="J39" s="10" t="str">
        <v>Rockville</v>
      </c>
      <c r="K39" s="3">
        <v>224.1</v>
      </c>
      <c r="L39" s="3">
        <v>522.9</v>
      </c>
      <c r="M39" vm="19">
        <v>45814</v>
      </c>
    </row>
    <row r="40" spans="1:13">
      <c r="A40">
        <v>135</v>
      </c>
      <c r="B40" vm="13">
        <v>45804</v>
      </c>
      <c r="C40" s="10" t="str">
        <v>Corporate Event</v>
      </c>
      <c r="D40" t="str">
        <v>Income</v>
      </c>
      <c r="E40" t="str">
        <v>Service</v>
      </c>
      <c r="F40" t="e">
        <v>#NUM!</v>
      </c>
      <c r="G40" t="e">
        <v>#NUM!</v>
      </c>
      <c r="H40" s="3">
        <v>1367</v>
      </c>
      <c r="I40" s="10" t="str">
        <v>Emma Davis</v>
      </c>
      <c r="J40" s="10" t="str">
        <v>Baltimore</v>
      </c>
      <c r="K40" s="3">
        <v>410.09999999999997</v>
      </c>
      <c r="L40" s="3">
        <v>956.9</v>
      </c>
      <c r="M40" vm="19">
        <v>45814</v>
      </c>
    </row>
    <row r="41" spans="1:13">
      <c r="A41">
        <v>136</v>
      </c>
      <c r="B41" vm="13">
        <v>45804</v>
      </c>
      <c r="C41" s="10" t="str">
        <v>Wedding</v>
      </c>
      <c r="D41" t="str">
        <v>Income</v>
      </c>
      <c r="E41" t="str">
        <v>Service</v>
      </c>
      <c r="F41" t="e">
        <v>#NUM!</v>
      </c>
      <c r="G41" t="e">
        <v>#NUM!</v>
      </c>
      <c r="H41" s="3">
        <v>1633</v>
      </c>
      <c r="I41" s="10" t="str">
        <v>John Smith</v>
      </c>
      <c r="J41" s="10" t="str">
        <v>Baltimore</v>
      </c>
      <c r="K41" s="3">
        <v>489.9</v>
      </c>
      <c r="L41" s="3">
        <v>1143.0999999999999</v>
      </c>
      <c r="M41" vm="19">
        <v>45814</v>
      </c>
    </row>
    <row r="42" spans="1:13">
      <c r="A42">
        <v>137</v>
      </c>
      <c r="B42" vm="13">
        <v>45804</v>
      </c>
      <c r="C42" s="10" t="str">
        <v>Anniversary</v>
      </c>
      <c r="D42" t="str">
        <v>Income</v>
      </c>
      <c r="E42" t="str">
        <v>Service</v>
      </c>
      <c r="F42" t="e">
        <v>#NUM!</v>
      </c>
      <c r="G42" t="e">
        <v>#NUM!</v>
      </c>
      <c r="H42" s="3">
        <v>1461</v>
      </c>
      <c r="I42" s="10" t="str">
        <v>David Kim</v>
      </c>
      <c r="J42" s="10" t="str">
        <v>Rockville</v>
      </c>
      <c r="K42" s="3">
        <v>438.3</v>
      </c>
      <c r="L42" s="3">
        <v>1022.6999999999999</v>
      </c>
      <c r="M42" vm="19">
        <v>45814</v>
      </c>
    </row>
    <row r="43" spans="1:13">
      <c r="A43">
        <v>138</v>
      </c>
      <c r="B43" vm="14">
        <v>45805</v>
      </c>
      <c r="C43" s="10" t="str">
        <v>Baby Shower</v>
      </c>
      <c r="D43" t="str">
        <v>Income</v>
      </c>
      <c r="E43" t="str">
        <v>Service</v>
      </c>
      <c r="F43" t="e">
        <v>#NUM!</v>
      </c>
      <c r="G43" t="e">
        <v>#NUM!</v>
      </c>
      <c r="H43" s="3">
        <v>2559</v>
      </c>
      <c r="I43" s="10" t="str">
        <v>John Smith</v>
      </c>
      <c r="J43" s="10" t="str">
        <v>Annapolis</v>
      </c>
      <c r="K43" s="3">
        <v>767.69999999999993</v>
      </c>
      <c r="L43" s="3">
        <v>1791.3</v>
      </c>
      <c r="M43" vm="20">
        <v>45815</v>
      </c>
    </row>
    <row r="44" spans="1:13" ht="30">
      <c r="A44">
        <v>141</v>
      </c>
      <c r="B44" vm="10">
        <v>45806</v>
      </c>
      <c r="C44" s="10" t="str">
        <v>Corporate Event</v>
      </c>
      <c r="D44" t="str">
        <v>Income</v>
      </c>
      <c r="E44" t="str">
        <v>Service</v>
      </c>
      <c r="F44" t="e">
        <v>#NUM!</v>
      </c>
      <c r="G44" t="e">
        <v>#NUM!</v>
      </c>
      <c r="H44" s="3">
        <v>886</v>
      </c>
      <c r="I44" s="10" t="str">
        <v>James Wilson</v>
      </c>
      <c r="J44" s="10" t="str">
        <v>Annapolis</v>
      </c>
      <c r="K44" s="3">
        <v>265.8</v>
      </c>
      <c r="L44" s="3">
        <v>620.19999999999993</v>
      </c>
      <c r="M44" vm="21">
        <v>45816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FE31-5D5D-411C-B276-BC4569D26F48}">
  <dimension ref="A1:K34"/>
  <sheetViews>
    <sheetView workbookViewId="0">
      <selection activeCell="I12" sqref="I12"/>
    </sheetView>
  </sheetViews>
  <sheetFormatPr defaultRowHeight="15"/>
  <cols>
    <col min="2" max="2" width="9.7109375" bestFit="1" customWidth="1"/>
    <col min="3" max="3" width="30.5703125" bestFit="1" customWidth="1"/>
    <col min="5" max="5" width="10" bestFit="1" customWidth="1"/>
    <col min="8" max="8" width="10.5703125" style="3" bestFit="1" customWidth="1"/>
    <col min="9" max="9" width="31.7109375" bestFit="1" customWidth="1"/>
    <col min="10" max="10" width="10.140625" bestFit="1" customWidth="1"/>
    <col min="11" max="11" width="17.7109375" bestFit="1" customWidth="1"/>
  </cols>
  <sheetData>
    <row r="1" spans="1:11" ht="18.75">
      <c r="A1" s="9"/>
    </row>
    <row r="3" spans="1:11">
      <c r="A3" t="str" cm="1">
        <f t="array" ref="A3:K34">_xlfn._xlws.PY(20,0,Analysis1!$A$207)</f>
        <v/>
      </c>
      <c r="B3" t="str">
        <v>Date</v>
      </c>
      <c r="C3" t="str">
        <v>Item</v>
      </c>
      <c r="D3" t="str">
        <v>Type</v>
      </c>
      <c r="E3" t="str">
        <v>Subtype</v>
      </c>
      <c r="F3" t="str">
        <v>Quantity</v>
      </c>
      <c r="G3" t="str">
        <v>Per Unit Price</v>
      </c>
      <c r="H3" s="3" t="str">
        <v>Total Price</v>
      </c>
      <c r="I3" t="str">
        <v>Client Name</v>
      </c>
      <c r="J3" t="str">
        <v>Client City</v>
      </c>
      <c r="K3" t="str">
        <v>Payment Due Date</v>
      </c>
    </row>
    <row r="4" spans="1:11">
      <c r="A4">
        <v>3</v>
      </c>
      <c r="B4" vm="2">
        <v>45778</v>
      </c>
      <c r="C4" t="str">
        <v>Vendor Payment - Flowers</v>
      </c>
      <c r="D4" t="str">
        <v>Expense</v>
      </c>
      <c r="E4" t="str">
        <v>Event cost</v>
      </c>
      <c r="F4" t="e">
        <v>#NUM!</v>
      </c>
      <c r="G4" t="e">
        <v>#NUM!</v>
      </c>
      <c r="H4" s="3">
        <v>338</v>
      </c>
      <c r="I4" t="str">
        <v>AAA Party Rentals</v>
      </c>
      <c r="J4" t="str">
        <v>N/A</v>
      </c>
      <c r="K4" vm="41">
        <v>45793</v>
      </c>
    </row>
    <row r="5" spans="1:11">
      <c r="A5">
        <v>7</v>
      </c>
      <c r="B5" vm="2">
        <v>45778</v>
      </c>
      <c r="C5" t="str">
        <v>Transportation Cost</v>
      </c>
      <c r="D5" t="str">
        <v>Expense</v>
      </c>
      <c r="E5" t="str">
        <v>Event cost</v>
      </c>
      <c r="F5" t="e">
        <v>#NUM!</v>
      </c>
      <c r="G5" t="e">
        <v>#NUM!</v>
      </c>
      <c r="H5" s="3">
        <v>219</v>
      </c>
      <c r="I5" t="str">
        <v>N/A</v>
      </c>
      <c r="J5" t="str">
        <v>N/A</v>
      </c>
      <c r="K5" vm="41">
        <v>45793</v>
      </c>
    </row>
    <row r="6" spans="1:11">
      <c r="A6">
        <v>10</v>
      </c>
      <c r="B6" vm="7">
        <v>45779</v>
      </c>
      <c r="C6" t="str">
        <v>Vendor Payment - Flowers</v>
      </c>
      <c r="D6" t="str">
        <v>Expense</v>
      </c>
      <c r="E6" t="str">
        <v>Event cost</v>
      </c>
      <c r="F6" t="e">
        <v>#NUM!</v>
      </c>
      <c r="G6" t="e">
        <v>#NUM!</v>
      </c>
      <c r="H6" s="3">
        <v>93</v>
      </c>
      <c r="I6" t="str">
        <v>AAA Party Rentals</v>
      </c>
      <c r="J6" t="str">
        <v>N/A</v>
      </c>
      <c r="K6" vm="45">
        <v>45794</v>
      </c>
    </row>
    <row r="7" spans="1:11">
      <c r="A7">
        <v>15</v>
      </c>
      <c r="B7" vm="12">
        <v>45780</v>
      </c>
      <c r="C7" t="str">
        <v>Vendor Payment - Catering</v>
      </c>
      <c r="D7" t="str">
        <v>Expense</v>
      </c>
      <c r="E7" t="str">
        <v>Event cost</v>
      </c>
      <c r="F7" t="e">
        <v>#NUM!</v>
      </c>
      <c r="G7" t="e">
        <v>#NUM!</v>
      </c>
      <c r="H7" s="3">
        <v>402</v>
      </c>
      <c r="I7" t="str">
        <v>Better Catering</v>
      </c>
      <c r="J7" t="str">
        <v>N/A</v>
      </c>
      <c r="K7" vm="31">
        <v>45795</v>
      </c>
    </row>
    <row r="8" spans="1:11">
      <c r="A8">
        <v>19</v>
      </c>
      <c r="B8" vm="8">
        <v>45781</v>
      </c>
      <c r="C8" t="str">
        <v>Vendor Payment - Catering</v>
      </c>
      <c r="D8" t="str">
        <v>Expense</v>
      </c>
      <c r="E8" t="str">
        <v>Event cost</v>
      </c>
      <c r="F8" t="e">
        <v>#NUM!</v>
      </c>
      <c r="G8" t="e">
        <v>#NUM!</v>
      </c>
      <c r="H8" s="3">
        <v>1136</v>
      </c>
      <c r="I8" t="str">
        <v>N/A</v>
      </c>
      <c r="J8" t="str">
        <v>N/A</v>
      </c>
      <c r="K8" vm="46">
        <v>45796</v>
      </c>
    </row>
    <row r="9" spans="1:11">
      <c r="A9">
        <v>21</v>
      </c>
      <c r="B9" vm="8">
        <v>45781</v>
      </c>
      <c r="C9" t="str">
        <v>Venue Rental</v>
      </c>
      <c r="D9" t="str">
        <v>Expense</v>
      </c>
      <c r="E9" t="str">
        <v>Event cost</v>
      </c>
      <c r="F9" t="e">
        <v>#NUM!</v>
      </c>
      <c r="G9" t="e">
        <v>#NUM!</v>
      </c>
      <c r="H9" s="3">
        <v>1157</v>
      </c>
      <c r="I9" t="str">
        <v>N/A</v>
      </c>
      <c r="J9" t="str">
        <v>N/A</v>
      </c>
      <c r="K9" vm="46">
        <v>45796</v>
      </c>
    </row>
    <row r="10" spans="1:11">
      <c r="A10">
        <v>26</v>
      </c>
      <c r="B10" vm="9">
        <v>45782</v>
      </c>
      <c r="C10" t="str">
        <v>Vendor Payment - Sound System</v>
      </c>
      <c r="D10" t="str">
        <v>Expense</v>
      </c>
      <c r="E10" t="str">
        <v>Event cost</v>
      </c>
      <c r="F10" t="e">
        <v>#NUM!</v>
      </c>
      <c r="G10" t="e">
        <v>#NUM!</v>
      </c>
      <c r="H10" s="3">
        <v>201</v>
      </c>
      <c r="I10" t="str">
        <v>N/A</v>
      </c>
      <c r="J10" t="str">
        <v>N/A</v>
      </c>
      <c r="K10" vm="58">
        <v>45797</v>
      </c>
    </row>
    <row r="11" spans="1:11">
      <c r="A11">
        <v>27</v>
      </c>
      <c r="B11" vm="9">
        <v>45782</v>
      </c>
      <c r="C11" t="str">
        <v>Vendor Payment - Flowers</v>
      </c>
      <c r="D11" t="str">
        <v>Expense</v>
      </c>
      <c r="E11" t="str">
        <v>Event cost</v>
      </c>
      <c r="F11" t="e">
        <v>#NUM!</v>
      </c>
      <c r="G11" t="e">
        <v>#NUM!</v>
      </c>
      <c r="H11" s="3">
        <v>1215</v>
      </c>
      <c r="I11" t="str">
        <v>Willow Oak Flower and Herb Farm</v>
      </c>
      <c r="J11" t="str">
        <v>N/A</v>
      </c>
      <c r="K11" vm="58">
        <v>45797</v>
      </c>
    </row>
    <row r="12" spans="1:11">
      <c r="A12">
        <v>29</v>
      </c>
      <c r="B12" vm="9">
        <v>45782</v>
      </c>
      <c r="C12" t="str">
        <v>Transportation Cost</v>
      </c>
      <c r="D12" t="str">
        <v>Expense</v>
      </c>
      <c r="E12" t="str">
        <v>Event cost</v>
      </c>
      <c r="F12" t="e">
        <v>#NUM!</v>
      </c>
      <c r="G12" t="e">
        <v>#NUM!</v>
      </c>
      <c r="H12" s="3">
        <v>602</v>
      </c>
      <c r="I12" t="str">
        <v>N/A</v>
      </c>
      <c r="J12" t="str">
        <v>N/A</v>
      </c>
      <c r="K12" vm="58">
        <v>45797</v>
      </c>
    </row>
    <row r="13" spans="1:11">
      <c r="A13">
        <v>51</v>
      </c>
      <c r="B13" vm="55">
        <v>45784</v>
      </c>
      <c r="C13" t="str">
        <v>Vendor Payment - Sound System</v>
      </c>
      <c r="D13" t="str">
        <v>Expense</v>
      </c>
      <c r="E13" t="str">
        <v>Event cost</v>
      </c>
      <c r="F13" t="e">
        <v>#NUM!</v>
      </c>
      <c r="G13" t="e">
        <v>#NUM!</v>
      </c>
      <c r="H13" s="3">
        <v>106</v>
      </c>
      <c r="I13" t="str">
        <v>Jack's House of Music</v>
      </c>
      <c r="J13" t="str">
        <v>N/A</v>
      </c>
      <c r="K13" vm="27">
        <v>45799</v>
      </c>
    </row>
    <row r="14" spans="1:11">
      <c r="A14">
        <v>58</v>
      </c>
      <c r="B14" vm="35">
        <v>45785</v>
      </c>
      <c r="C14" t="str">
        <v>Venue Rental</v>
      </c>
      <c r="D14" t="str">
        <v>Expense</v>
      </c>
      <c r="E14" t="str">
        <v>Event cost</v>
      </c>
      <c r="F14" t="e">
        <v>#NUM!</v>
      </c>
      <c r="G14" t="e">
        <v>#NUM!</v>
      </c>
      <c r="H14" s="3">
        <v>1015</v>
      </c>
      <c r="I14" t="str">
        <v>N/A</v>
      </c>
      <c r="J14" t="str">
        <v>N/A</v>
      </c>
      <c r="K14" vm="28">
        <v>45800</v>
      </c>
    </row>
    <row r="15" spans="1:11">
      <c r="A15">
        <v>61</v>
      </c>
      <c r="B15" vm="35">
        <v>45785</v>
      </c>
      <c r="C15" t="str">
        <v>Vendor Payment - Sound System</v>
      </c>
      <c r="D15" t="str">
        <v>Expense</v>
      </c>
      <c r="E15" t="str">
        <v>Event cost</v>
      </c>
      <c r="F15" t="e">
        <v>#NUM!</v>
      </c>
      <c r="G15" t="e">
        <v>#NUM!</v>
      </c>
      <c r="H15" s="3">
        <v>776</v>
      </c>
      <c r="I15" t="str">
        <v>Jack's House of Music</v>
      </c>
      <c r="J15" t="str">
        <v>N/A</v>
      </c>
      <c r="K15" vm="28">
        <v>45800</v>
      </c>
    </row>
    <row r="16" spans="1:11">
      <c r="A16">
        <v>62</v>
      </c>
      <c r="B16" vm="35">
        <v>45785</v>
      </c>
      <c r="C16" t="str">
        <v>Vendor Payment - Sound System</v>
      </c>
      <c r="D16" t="str">
        <v>Expense</v>
      </c>
      <c r="E16" t="str">
        <v>Event cost</v>
      </c>
      <c r="F16" t="e">
        <v>#NUM!</v>
      </c>
      <c r="G16" t="e">
        <v>#NUM!</v>
      </c>
      <c r="H16" s="3">
        <v>353</v>
      </c>
      <c r="I16" t="str">
        <v>AAA Sound Systems</v>
      </c>
      <c r="J16" t="str">
        <v>N/A</v>
      </c>
      <c r="K16" vm="28">
        <v>45800</v>
      </c>
    </row>
    <row r="17" spans="1:11">
      <c r="A17">
        <v>63</v>
      </c>
      <c r="B17" vm="35">
        <v>45785</v>
      </c>
      <c r="C17" t="str">
        <v>Vendor Payment - Flowers</v>
      </c>
      <c r="D17" t="str">
        <v>Expense</v>
      </c>
      <c r="E17" t="str">
        <v>Event cost</v>
      </c>
      <c r="F17" t="e">
        <v>#NUM!</v>
      </c>
      <c r="G17" t="e">
        <v>#NUM!</v>
      </c>
      <c r="H17" s="3">
        <v>96</v>
      </c>
      <c r="I17" t="str">
        <v>All Flower Inc.</v>
      </c>
      <c r="J17" t="str">
        <v>N/A</v>
      </c>
      <c r="K17" vm="28">
        <v>45800</v>
      </c>
    </row>
    <row r="18" spans="1:11">
      <c r="A18">
        <v>72</v>
      </c>
      <c r="B18" vm="17">
        <v>45789</v>
      </c>
      <c r="C18" t="str">
        <v>Transportation Cost</v>
      </c>
      <c r="D18" t="str">
        <v>Expense</v>
      </c>
      <c r="E18" t="str">
        <v>Event cost</v>
      </c>
      <c r="F18" t="e">
        <v>#NUM!</v>
      </c>
      <c r="G18" t="e">
        <v>#NUM!</v>
      </c>
      <c r="H18" s="3">
        <v>1486</v>
      </c>
      <c r="I18" t="str">
        <v>N/A</v>
      </c>
      <c r="J18" t="str">
        <v>N/A</v>
      </c>
      <c r="K18" vm="13">
        <v>45804</v>
      </c>
    </row>
    <row r="19" spans="1:11">
      <c r="A19">
        <v>74</v>
      </c>
      <c r="B19" vm="18">
        <v>45790</v>
      </c>
      <c r="C19" t="str">
        <v>Vendor Payment - Sound System</v>
      </c>
      <c r="D19" t="str">
        <v>Expense</v>
      </c>
      <c r="E19" t="str">
        <v>Event cost</v>
      </c>
      <c r="F19" t="e">
        <v>#NUM!</v>
      </c>
      <c r="G19" t="e">
        <v>#NUM!</v>
      </c>
      <c r="H19" s="3">
        <v>763</v>
      </c>
      <c r="I19" t="str">
        <v>AAA Sound Systems</v>
      </c>
      <c r="J19" t="str">
        <v>N/A</v>
      </c>
      <c r="K19" vm="14">
        <v>45805</v>
      </c>
    </row>
    <row r="20" spans="1:11">
      <c r="A20">
        <v>75</v>
      </c>
      <c r="B20" vm="18">
        <v>45790</v>
      </c>
      <c r="C20" t="str">
        <v>Transportation Cost</v>
      </c>
      <c r="D20" t="str">
        <v>Expense</v>
      </c>
      <c r="E20" t="str">
        <v>Event cost</v>
      </c>
      <c r="F20" t="e">
        <v>#NUM!</v>
      </c>
      <c r="G20" t="e">
        <v>#NUM!</v>
      </c>
      <c r="H20" s="3">
        <v>845</v>
      </c>
      <c r="I20" t="str">
        <v>N/A</v>
      </c>
      <c r="J20" t="str">
        <v>N/A</v>
      </c>
      <c r="K20" vm="14">
        <v>45805</v>
      </c>
    </row>
    <row r="21" spans="1:11">
      <c r="A21">
        <v>78</v>
      </c>
      <c r="B21" vm="18">
        <v>45790</v>
      </c>
      <c r="C21" t="str">
        <v>Venue Rental</v>
      </c>
      <c r="D21" t="str">
        <v>Expense</v>
      </c>
      <c r="E21" t="str">
        <v>Event cost</v>
      </c>
      <c r="F21" t="e">
        <v>#NUM!</v>
      </c>
      <c r="G21" t="e">
        <v>#NUM!</v>
      </c>
      <c r="H21" s="3">
        <v>52</v>
      </c>
      <c r="I21" t="str">
        <v>N/A</v>
      </c>
      <c r="J21" t="str">
        <v>N/A</v>
      </c>
      <c r="K21" vm="14">
        <v>45805</v>
      </c>
    </row>
    <row r="22" spans="1:11">
      <c r="A22">
        <v>80</v>
      </c>
      <c r="B22" vm="45">
        <v>45794</v>
      </c>
      <c r="C22" t="str">
        <v>Transportation Cost</v>
      </c>
      <c r="D22" t="str">
        <v>Expense</v>
      </c>
      <c r="E22" t="str">
        <v>Event cost</v>
      </c>
      <c r="F22" t="e">
        <v>#NUM!</v>
      </c>
      <c r="G22" t="e">
        <v>#NUM!</v>
      </c>
      <c r="H22" s="3">
        <v>1315</v>
      </c>
      <c r="I22" t="str">
        <v>N/A</v>
      </c>
      <c r="J22" t="str">
        <v>N/A</v>
      </c>
      <c r="K22" vm="42">
        <v>45809</v>
      </c>
    </row>
    <row r="23" spans="1:11">
      <c r="A23">
        <v>88</v>
      </c>
      <c r="B23" vm="31">
        <v>45795</v>
      </c>
      <c r="C23" t="str">
        <v>Transportation Cost</v>
      </c>
      <c r="D23" t="str">
        <v>Expense</v>
      </c>
      <c r="E23" t="str">
        <v>Event cost</v>
      </c>
      <c r="F23" t="e">
        <v>#NUM!</v>
      </c>
      <c r="G23" t="e">
        <v>#NUM!</v>
      </c>
      <c r="H23" s="3">
        <v>140</v>
      </c>
      <c r="I23" t="str">
        <v>N/A</v>
      </c>
      <c r="J23" t="str">
        <v>N/A</v>
      </c>
      <c r="K23" vm="43">
        <v>45810</v>
      </c>
    </row>
    <row r="24" spans="1:11">
      <c r="A24">
        <v>92</v>
      </c>
      <c r="B24" vm="31">
        <v>45795</v>
      </c>
      <c r="C24" t="str">
        <v>Transportation Cost</v>
      </c>
      <c r="D24" t="str">
        <v>Expense</v>
      </c>
      <c r="E24" t="str">
        <v>Event cost</v>
      </c>
      <c r="F24" t="e">
        <v>#NUM!</v>
      </c>
      <c r="G24" t="e">
        <v>#NUM!</v>
      </c>
      <c r="H24" s="3">
        <v>61</v>
      </c>
      <c r="I24" t="str">
        <v>N/A</v>
      </c>
      <c r="J24" t="str">
        <v>N/A</v>
      </c>
      <c r="K24" vm="43">
        <v>45810</v>
      </c>
    </row>
    <row r="25" spans="1:11">
      <c r="A25">
        <v>94</v>
      </c>
      <c r="B25" vm="31">
        <v>45795</v>
      </c>
      <c r="C25" t="str">
        <v>Transportation Cost</v>
      </c>
      <c r="D25" t="str">
        <v>Expense</v>
      </c>
      <c r="E25" t="str">
        <v>Event cost</v>
      </c>
      <c r="F25" t="e">
        <v>#NUM!</v>
      </c>
      <c r="G25" t="e">
        <v>#NUM!</v>
      </c>
      <c r="H25" s="3">
        <v>838</v>
      </c>
      <c r="I25" t="str">
        <v>N/A</v>
      </c>
      <c r="J25" t="str">
        <v>N/A</v>
      </c>
      <c r="K25" vm="43">
        <v>45810</v>
      </c>
    </row>
    <row r="26" spans="1:11">
      <c r="A26">
        <v>101</v>
      </c>
      <c r="B26" vm="56">
        <v>45798</v>
      </c>
      <c r="C26" t="str">
        <v>Vendor Payment - Catering</v>
      </c>
      <c r="D26" t="str">
        <v>Expense</v>
      </c>
      <c r="E26" t="str">
        <v>Event cost</v>
      </c>
      <c r="F26" t="e">
        <v>#NUM!</v>
      </c>
      <c r="G26" t="e">
        <v>#NUM!</v>
      </c>
      <c r="H26" s="3">
        <v>794</v>
      </c>
      <c r="I26" t="str">
        <v>N/A</v>
      </c>
      <c r="J26" t="str">
        <v>N/A</v>
      </c>
      <c r="K26" vm="59">
        <v>45813</v>
      </c>
    </row>
    <row r="27" spans="1:11">
      <c r="A27">
        <v>105</v>
      </c>
      <c r="B27" vm="56">
        <v>45798</v>
      </c>
      <c r="C27" t="str">
        <v>Travel and Entertainment</v>
      </c>
      <c r="D27" t="str">
        <v>Expense</v>
      </c>
      <c r="E27" t="str">
        <v>Event cost</v>
      </c>
      <c r="F27" t="e">
        <v>#NUM!</v>
      </c>
      <c r="G27" t="e">
        <v>#NUM!</v>
      </c>
      <c r="H27" s="3">
        <v>1147</v>
      </c>
      <c r="I27" t="str">
        <v>N/A</v>
      </c>
      <c r="J27" t="str">
        <v>N/A</v>
      </c>
      <c r="K27" vm="59">
        <v>45813</v>
      </c>
    </row>
    <row r="28" spans="1:11">
      <c r="A28">
        <v>111</v>
      </c>
      <c r="B28" vm="27">
        <v>45799</v>
      </c>
      <c r="C28" t="str">
        <v>Vendor Payment - Flowers</v>
      </c>
      <c r="D28" t="str">
        <v>Expense</v>
      </c>
      <c r="E28" t="str">
        <v>Event cost</v>
      </c>
      <c r="F28" t="e">
        <v>#NUM!</v>
      </c>
      <c r="G28" t="e">
        <v>#NUM!</v>
      </c>
      <c r="H28" s="3">
        <v>167</v>
      </c>
      <c r="I28" t="str">
        <v>Willow Oak Flower and Herb Farm</v>
      </c>
      <c r="J28" t="str">
        <v>N/A</v>
      </c>
      <c r="K28" vm="19">
        <v>45814</v>
      </c>
    </row>
    <row r="29" spans="1:11">
      <c r="A29">
        <v>121</v>
      </c>
      <c r="B29" vm="28">
        <v>45800</v>
      </c>
      <c r="C29" t="str">
        <v>Venue Rental</v>
      </c>
      <c r="D29" t="str">
        <v>Expense</v>
      </c>
      <c r="E29" t="str">
        <v>Event cost</v>
      </c>
      <c r="F29" t="e">
        <v>#NUM!</v>
      </c>
      <c r="G29" t="e">
        <v>#NUM!</v>
      </c>
      <c r="H29" s="3">
        <v>1302</v>
      </c>
      <c r="I29" t="str">
        <v>N/A</v>
      </c>
      <c r="J29" t="str">
        <v>N/A</v>
      </c>
      <c r="K29" vm="20">
        <v>45815</v>
      </c>
    </row>
    <row r="30" spans="1:11">
      <c r="A30">
        <v>127</v>
      </c>
      <c r="B30" vm="25">
        <v>45801</v>
      </c>
      <c r="C30" t="str">
        <v>Transportation Cost</v>
      </c>
      <c r="D30" t="str">
        <v>Expense</v>
      </c>
      <c r="E30" t="str">
        <v>Event cost</v>
      </c>
      <c r="F30" t="e">
        <v>#NUM!</v>
      </c>
      <c r="G30" t="e">
        <v>#NUM!</v>
      </c>
      <c r="H30" s="3">
        <v>792</v>
      </c>
      <c r="I30" t="str">
        <v>N/A</v>
      </c>
      <c r="J30" t="str">
        <v>N/A</v>
      </c>
      <c r="K30" vm="21">
        <v>45816</v>
      </c>
    </row>
    <row r="31" spans="1:11">
      <c r="A31">
        <v>132</v>
      </c>
      <c r="B31" vm="13">
        <v>45804</v>
      </c>
      <c r="C31" t="str">
        <v>Vendor Payment - Flowers</v>
      </c>
      <c r="D31" t="str">
        <v>Expense</v>
      </c>
      <c r="E31" t="str">
        <v>Event cost</v>
      </c>
      <c r="F31" t="e">
        <v>#NUM!</v>
      </c>
      <c r="G31" t="e">
        <v>#NUM!</v>
      </c>
      <c r="H31" s="3">
        <v>1483</v>
      </c>
      <c r="I31" t="str">
        <v>All Flower Inc.</v>
      </c>
      <c r="J31" t="str">
        <v>N/A</v>
      </c>
      <c r="K31" vm="47">
        <v>45819</v>
      </c>
    </row>
    <row r="32" spans="1:11">
      <c r="A32">
        <v>140</v>
      </c>
      <c r="B32" vm="10">
        <v>45806</v>
      </c>
      <c r="C32" t="str">
        <v>Venue Rental</v>
      </c>
      <c r="D32" t="str">
        <v>Expense</v>
      </c>
      <c r="E32" t="str">
        <v>Event cost</v>
      </c>
      <c r="F32" t="e">
        <v>#NUM!</v>
      </c>
      <c r="G32" t="e">
        <v>#NUM!</v>
      </c>
      <c r="H32" s="3">
        <v>655</v>
      </c>
      <c r="I32" t="str">
        <v>N/A</v>
      </c>
      <c r="J32" t="str">
        <v>N/A</v>
      </c>
      <c r="K32" vm="48">
        <v>45821</v>
      </c>
    </row>
    <row r="33" spans="1:11">
      <c r="A33">
        <v>147</v>
      </c>
      <c r="B33" vm="4">
        <v>45807</v>
      </c>
      <c r="C33" t="str">
        <v>Vendor Payment - Flowers</v>
      </c>
      <c r="D33" t="str">
        <v>Expense</v>
      </c>
      <c r="E33" t="str">
        <v>Event cost</v>
      </c>
      <c r="F33" t="e">
        <v>#NUM!</v>
      </c>
      <c r="G33" t="e">
        <v>#NUM!</v>
      </c>
      <c r="H33" s="3">
        <v>1328</v>
      </c>
      <c r="I33" t="str">
        <v>AAA Party Rentals</v>
      </c>
      <c r="J33" t="str">
        <v>N/A</v>
      </c>
      <c r="K33" vm="49">
        <v>45822</v>
      </c>
    </row>
    <row r="34" spans="1:11">
      <c r="A34">
        <v>148</v>
      </c>
      <c r="B34" vm="4">
        <v>45807</v>
      </c>
      <c r="C34" t="str">
        <v>Vendor Payment - Catering</v>
      </c>
      <c r="D34" t="str">
        <v>Expense</v>
      </c>
      <c r="E34" t="str">
        <v>Event cost</v>
      </c>
      <c r="F34" t="e">
        <v>#NUM!</v>
      </c>
      <c r="G34" t="e">
        <v>#NUM!</v>
      </c>
      <c r="H34" s="3">
        <v>351</v>
      </c>
      <c r="I34" t="str">
        <v>Better Catering</v>
      </c>
      <c r="J34" t="str">
        <v>N/A</v>
      </c>
      <c r="K34" vm="49">
        <v>45822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4E5E-4D49-44AC-B5EB-379628A1D0E3}">
  <dimension ref="A1"/>
  <sheetViews>
    <sheetView workbookViewId="0">
      <selection activeCell="E13" sqref="E1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Irene Muthondu</cp:lastModifiedBy>
  <cp:revision/>
  <dcterms:created xsi:type="dcterms:W3CDTF">2025-05-29T09:28:45Z</dcterms:created>
  <dcterms:modified xsi:type="dcterms:W3CDTF">2025-07-09T12:21:47Z</dcterms:modified>
  <cp:category/>
  <cp:contentStatus/>
</cp:coreProperties>
</file>