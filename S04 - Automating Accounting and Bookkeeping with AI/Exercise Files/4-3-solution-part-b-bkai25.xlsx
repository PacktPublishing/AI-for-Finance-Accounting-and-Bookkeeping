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xial Consulting\Automating-Bookeeping-with-AI\Course files\"/>
    </mc:Choice>
  </mc:AlternateContent>
  <xr:revisionPtr revIDLastSave="0" documentId="13_ncr:1_{6F369BBA-A22B-4C6E-AA36-6A8B74344AB3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Inventory_Data" sheetId="1" r:id="rId1"/>
    <sheet name="Service_Transactions" sheetId="2" r:id="rId2"/>
    <sheet name="Payment_Terms" sheetId="3" r:id="rId3"/>
    <sheet name="Analysis1" sheetId="4" r:id="rId4"/>
    <sheet name="Detail1" sheetId="5" r:id="rId5"/>
    <sheet name="Detail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24" i="4" a="1"/>
  <c r="A42" i="4" a="1"/>
  <c r="A60" i="4" a="1"/>
  <c r="A78" i="4" a="1"/>
  <c r="A98" i="4" a="1"/>
  <c r="A104" i="4" a="1"/>
  <c r="A114" i="4" a="1"/>
  <c r="A114" i="4" l="1"/>
  <c r="A104" i="4"/>
  <c r="A107" i="4" s="1" a="1"/>
  <c r="A107" i="4" s="1"/>
  <c r="A98" i="4"/>
  <c r="A101" i="4" s="1" a="1"/>
  <c r="A101" i="4" s="1"/>
  <c r="A78" i="4"/>
  <c r="A60" i="4"/>
  <c r="A63" i="4" s="1" a="1"/>
  <c r="A63" i="4" s="1"/>
  <c r="A42" i="4"/>
  <c r="A45" i="4" s="1" a="1"/>
  <c r="A45" i="4" s="1"/>
  <c r="A24" i="4"/>
  <c r="A27" i="4" s="1" a="1"/>
  <c r="A27" i="4" s="1"/>
  <c r="A6" i="4"/>
  <c r="A9" i="4" s="1" a="1"/>
  <c r="A9" i="4" s="1"/>
  <c r="A3" i="5" a="1"/>
  <c r="A3" i="5" l="1"/>
  <c r="A3" i="6" a="1"/>
  <c r="A3" i="6" l="1"/>
  <c r="B3" i="6" s="1" a="1"/>
  <c r="B3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4">
    <bk>
      <extLst>
        <ext uri="{3e2802c4-a4d2-4d8b-9148-e3be6c30e623}">
          <xlrd:rvb i="11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cellMetadata count="1">
    <bk>
      <rc t="1" v="0"/>
    </bk>
  </cellMetadata>
  <valueMetadata count="3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Service_Transactions_A1_G22_df=xl(%P2%, headers=True)</code>
    </pythonScript>
    <pythonScript>
      <code>#Analyze distribution of event types and subtypes
# Analyze the distribution of event types and subtypes
# Count occurrences of each event type and subtype
Event_Type_Distribution = Service_Transactions_A1_G22_df['Event Type'].value_counts()
Subtype_Distribution = Service_Transactions_A1_G22_df['Subtype'].value_counts()
# Combine the results into a single DataFrame for better visualization
Distribution_Analysis = pd.DataFrame({
    'Event Type Count': Event_Type_Distribution,
    'Subtype Count': Subtype_Distribution
})
Distribution_Analysis</code>
    </pythonScript>
    <pythonScript>
      <code>#Table showing receivable schedule for remaining payments
# Calculate receivable schedule for remaining payments
from datetime import timedelta
# Define payment rules
payment_rules = {
    'Intimate event': {'percentage': 0.8, 'days': 7},
    'Corporate event': {'percentage': 0.7, 'days': 7},
    'Social event': {'percentage': 1.0, 'days': 10}
}
# Function to calculate remaining payment and due date
def calculate_receivable(row):
    rule = payment_rules.get(row['Subtype'], {'percentage': 0, 'days': 0})
    remaining_payment = row['Total Price'] * rule['percentage']
    due_date = row['Date'] + timedelta(days=rule['days'])
    return pd.Series([remaining_payment, due_date])
# Apply the function to the dataset
Service_Transactions_A1_G22_df[['Remaining Payment', 'Payment Due Date']] = Service_Transactions_A1_G22_df.apply(calculate_receivable, axis=1)
# Create the receivable schedule table
Receivable_Schedule = Service_Transactions_A1_G22_df[['Event Type', 'Total Price', 'Remaining Payment', 'Payment Due Date']]
Receivable_Schedule</code>
    </pythonScript>
    <pythonScript>
      <code>#Calculate total remaining payments for each payment due date in June 2025
#Analyze the best time to plan expenditure in June 2025
# Group by payment due date and calculate total remaining payments for each date
Payment_Schedule = Receivable_Schedule.groupby('Payment Due Date')['Remaining Payment'].sum()
# Filter for June 2025
June_Payment_Schedule = Payment_Schedule[Payment_Schedule.index.month == 6]
June_Payment_Schedule</code>
    </pythonScript>
    <pythonScript>
      <code>#Bar chart of receivable schedule for June 2025
#Visualize the receivable schedule
plt.rcParams['font.family'] = ['Meiryo','Batang','TH SarabunPSK','SimHei','DejaVu Sans']
# Plot the receivable schedule for June 2025
plt.figure(figsize=(10, 6))
June_Payment_Schedule.plot(kind='bar', color='skyblue', edgecolor='black')
# Add labels and title
plt.title('Receivable Schedule for June 2025', fontsize=14)
plt.xlabel('Payment Due Date', fontsize=12)
plt.ylabel('Total Remaining Payment', fontsize=12)
plt.xticks(rotation=45, fontsize=10)
# Show the plot
plt.tight_layout()
plt.show()</code>
    </pythonScript>
    <pythonScript>
      <code>#Extract insights from service transactions data
#Insight 1: Event type with the highest average profit
Highest_Avg_Profit_Event = Service_Transactions_A1_G22_df.groupby('Event Type')['Profit Margin'].mean().idxmax()
#Insight 2: Subtype with the highest total revenue
Highest_Revenue_Subtype = Service_Transactions_A1_G22_df.groupby('Subtype')['Total Price'].sum().idxmax()
#Insight 3: Most frequent client based on number of transactions
Most_Frequent_Client = Service_Transactions_A1_G22_df['Client Name'].value_counts().idxmax()
#Combine insights into a dictionary
Insights = {
    'Event Type with Highest Average Profit': Highest_Avg_Profit_Event,
    'Subtype with Highest Total Revenue': Highest_Revenue_Subtype,
    'Most Frequent Client': Most_Frequent_Client
}
Insights</code>
    </pythonScript>
    <pythonScript>
      <code>#Total revenue by subtype
#Total revenue by subtype
#Insight 2: Total revenue by subtype
total_revenue_subtype = Service_Transactions_A1_G22_df.groupby('Subtype')['Total Price'].sum().reset_index()
total_revenue_subtype</code>
    </pythonScript>
    <pythonScript>
      <code>#Most frequent client
#Most frequent client
#Insight 3: Most frequent client
most_frequent_client = Service_Transactions_A1_G22_df['Client Name'].value_counts().idxmax()
most_frequent_client</code>
    </pythonScript>
    <pythonScript>
      <code>xl(%P2%)</code>
    </pythonScript>
  </pythonScripts>
</python>
</file>

<file path=xl/sharedStrings.xml><?xml version="1.0" encoding="utf-8"?>
<sst xmlns="http://schemas.openxmlformats.org/spreadsheetml/2006/main" count="232" uniqueCount="130">
  <si>
    <t>Item Name</t>
  </si>
  <si>
    <t>Category</t>
  </si>
  <si>
    <t>Quantity</t>
  </si>
  <si>
    <t>Purchase Date</t>
  </si>
  <si>
    <t>Cost per Item</t>
  </si>
  <si>
    <t>In Use</t>
  </si>
  <si>
    <t>Status</t>
  </si>
  <si>
    <t>Location</t>
  </si>
  <si>
    <t>Notes</t>
  </si>
  <si>
    <t>Wireless Mic</t>
  </si>
  <si>
    <t>Audio</t>
  </si>
  <si>
    <t>2024-10-10</t>
  </si>
  <si>
    <t>Yes</t>
  </si>
  <si>
    <t>Good</t>
  </si>
  <si>
    <t>Warehouse 1</t>
  </si>
  <si>
    <t>Rechargeable</t>
  </si>
  <si>
    <t>LED Lights</t>
  </si>
  <si>
    <t>Lighting</t>
  </si>
  <si>
    <t>2024-09-15</t>
  </si>
  <si>
    <t>No</t>
  </si>
  <si>
    <t>Fair</t>
  </si>
  <si>
    <t>RGB, includes remote</t>
  </si>
  <si>
    <t>Wooden Tables</t>
  </si>
  <si>
    <t>Furniture</t>
  </si>
  <si>
    <t>2024-08-20</t>
  </si>
  <si>
    <t>Round top</t>
  </si>
  <si>
    <t>Cotton Drapes</t>
  </si>
  <si>
    <t>Fabrics</t>
  </si>
  <si>
    <t>2024-07-12</t>
  </si>
  <si>
    <t>Warehouse 2</t>
  </si>
  <si>
    <t>White and blue</t>
  </si>
  <si>
    <t>Sound Mixer</t>
  </si>
  <si>
    <t>2024-11-01</t>
  </si>
  <si>
    <t>With Bluetooth</t>
  </si>
  <si>
    <t>Metal Chairs</t>
  </si>
  <si>
    <t>2024-06-30</t>
  </si>
  <si>
    <t>Foldable</t>
  </si>
  <si>
    <t>Projector Screen</t>
  </si>
  <si>
    <t>Visual</t>
  </si>
  <si>
    <t>2024-12-01</t>
  </si>
  <si>
    <t>1080p HD</t>
  </si>
  <si>
    <t>Spotlights</t>
  </si>
  <si>
    <t>2024-09-05</t>
  </si>
  <si>
    <t>Adjustable</t>
  </si>
  <si>
    <t>Round Tables</t>
  </si>
  <si>
    <t>2024-08-18</t>
  </si>
  <si>
    <t>Stage Panels</t>
  </si>
  <si>
    <t>Stage Equipment</t>
  </si>
  <si>
    <t>2024-10-25</t>
  </si>
  <si>
    <t>Metal frame</t>
  </si>
  <si>
    <t>Curtains</t>
  </si>
  <si>
    <t>2024-07-22</t>
  </si>
  <si>
    <t>Velvet</t>
  </si>
  <si>
    <t>Candle Holders</t>
  </si>
  <si>
    <t>Decor</t>
  </si>
  <si>
    <t>2024-05-05</t>
  </si>
  <si>
    <t>Gold-plated</t>
  </si>
  <si>
    <t>Centerpieces</t>
  </si>
  <si>
    <t>2024-05-10</t>
  </si>
  <si>
    <t>Glass bowls</t>
  </si>
  <si>
    <t>Table Linens</t>
  </si>
  <si>
    <t>2024-06-15</t>
  </si>
  <si>
    <t>White satin</t>
  </si>
  <si>
    <t>Extension Cords</t>
  </si>
  <si>
    <t>Electrical</t>
  </si>
  <si>
    <t>2024-04-20</t>
  </si>
  <si>
    <t>5m cords</t>
  </si>
  <si>
    <t>Date</t>
  </si>
  <si>
    <t>Client Name</t>
  </si>
  <si>
    <t>Event Type</t>
  </si>
  <si>
    <t>Total Price</t>
  </si>
  <si>
    <t>Profit Margin</t>
  </si>
  <si>
    <t>Type</t>
  </si>
  <si>
    <t>Subtype</t>
  </si>
  <si>
    <t>Ava Carter</t>
  </si>
  <si>
    <t>Wedding</t>
  </si>
  <si>
    <t>Service</t>
  </si>
  <si>
    <t>Intimate event</t>
  </si>
  <si>
    <t>Ben Holmes</t>
  </si>
  <si>
    <t>Corporate Dinner</t>
  </si>
  <si>
    <t>Corporate event</t>
  </si>
  <si>
    <t>Charlie Yu</t>
  </si>
  <si>
    <t>Birthday</t>
  </si>
  <si>
    <t>Dina Aslam</t>
  </si>
  <si>
    <t>Workshop</t>
  </si>
  <si>
    <t>Ethan Brooks</t>
  </si>
  <si>
    <t>Product Launch</t>
  </si>
  <si>
    <t>Fiona Knight</t>
  </si>
  <si>
    <t>Engagement</t>
  </si>
  <si>
    <t>George Lee</t>
  </si>
  <si>
    <t>Huda Malik</t>
  </si>
  <si>
    <t>Bridal Shower</t>
  </si>
  <si>
    <t>Ian Wood</t>
  </si>
  <si>
    <t>Training</t>
  </si>
  <si>
    <t>Fashion Inc.</t>
  </si>
  <si>
    <t>Fashion Show</t>
  </si>
  <si>
    <t>Kara Scott</t>
  </si>
  <si>
    <t>Seminar</t>
  </si>
  <si>
    <t>Audio Company</t>
  </si>
  <si>
    <t>Music Festival</t>
  </si>
  <si>
    <t>Mira Yousaf</t>
  </si>
  <si>
    <t>Exhibition</t>
  </si>
  <si>
    <t>Noah Flynn</t>
  </si>
  <si>
    <t>Networking Event</t>
  </si>
  <si>
    <t xml:space="preserve">Beck Co. </t>
  </si>
  <si>
    <t>Fundraiser</t>
  </si>
  <si>
    <t>Social event</t>
  </si>
  <si>
    <t xml:space="preserve">Training </t>
  </si>
  <si>
    <t>Jessica Paul</t>
  </si>
  <si>
    <t>Baby shower</t>
  </si>
  <si>
    <t>Elders Society</t>
  </si>
  <si>
    <t>Garage Sale</t>
  </si>
  <si>
    <t>Mike Watt</t>
  </si>
  <si>
    <t>Beck Co.</t>
  </si>
  <si>
    <t>Payment Terms</t>
  </si>
  <si>
    <t>20% in advance and 80% after 7 days</t>
  </si>
  <si>
    <t>100% after 10 days</t>
  </si>
  <si>
    <t>Analysis Sheet</t>
  </si>
  <si>
    <t>This sheet will include all the Python formulas generated by Copilot.</t>
  </si>
  <si>
    <t>Load data from Service_Transactions, A1:G22</t>
  </si>
  <si>
    <t>Preview</t>
  </si>
  <si>
    <t>Analyze distribution of event types and subtypes</t>
  </si>
  <si>
    <t>Table showing receivable schedule for remaining payments</t>
  </si>
  <si>
    <t>Calculate total remaining payments for each payment due date in June 2025</t>
  </si>
  <si>
    <t>Bar chart of receivable schedule for June 2025</t>
  </si>
  <si>
    <t>Extract insights from service transactions data</t>
  </si>
  <si>
    <t xml:space="preserve"> </t>
  </si>
  <si>
    <t>30% in advance and 70% after 7 days</t>
  </si>
  <si>
    <t>Total revenue by subtype</t>
  </si>
  <si>
    <t>Most frequent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</si>
</sst>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rgb="FF156082"/>
      <name val="Calibri"/>
      <family val="2"/>
      <scheme val="minor"/>
    </font>
    <font>
      <b/>
      <sz val="14"/>
      <color rgb="FF15608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" fontId="0" fillId="0" borderId="0" xfId="0" applyNumberFormat="1"/>
    <xf numFmtId="44" fontId="0" fillId="0" borderId="0" xfId="1" applyFont="1"/>
    <xf numFmtId="0" fontId="1" fillId="0" borderId="0" xfId="0" applyFont="1"/>
    <xf numFmtId="9" fontId="0" fillId="0" borderId="0" xfId="2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2" borderId="0" xfId="0" applyFont="1" applyFill="1"/>
    <xf numFmtId="0" fontId="0" fillId="2" borderId="0" xfId="0" applyFill="1"/>
    <xf numFmtId="0" fontId="0" fillId="0" borderId="0" xfId="0" applyAlignment="1">
      <alignment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eetMetadata" Target="metadata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Array" Target="richData/rdarray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4</xdr:col>
      <xdr:colOff>798001</xdr:colOff>
      <xdr:row>94</xdr:row>
      <xdr:rowOff>0</xdr:rowOff>
    </xdr:to>
    <xdr:pic>
      <xdr:nvPicPr>
        <xdr:cNvPr id="2" name="Picture 1" title="Bar chart of receivable schedule for June 2025">
          <a:extLst>
            <a:ext uri="{FF2B5EF4-FFF2-40B4-BE49-F238E27FC236}">
              <a16:creationId xmlns:a16="http://schemas.microsoft.com/office/drawing/2014/main" id="{292B05EB-CF79-0F26-1A05-3B2750C0098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7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44775"/>
          <a:ext cx="5093776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2" c="8">
    <v t="s"/>
    <v t="s">Date</v>
    <v t="s">Client Name</v>
    <v t="s">Event Type</v>
    <v t="s">Total Price</v>
    <v t="s">Profit Margin</v>
    <v t="s">Type</v>
    <v t="s">Subtype</v>
    <v>0</v>
    <v t="r">0</v>
    <v t="s">Ava Carter</v>
    <v t="s">Wedding</v>
    <v>2400</v>
    <v>0.4</v>
    <v t="s">Service</v>
    <v t="s">Intimate event</v>
    <v>1</v>
    <v t="r">1</v>
    <v t="s">Ben Holmes</v>
    <v t="s">Corporate Dinner</v>
    <v>3200</v>
    <v>0.35</v>
    <v t="s">Service</v>
    <v t="s">Corporate event</v>
    <v>2</v>
    <v t="r">2</v>
    <v t="s">Charlie Yu</v>
    <v t="s">Birthday</v>
    <v>1800</v>
    <v>0.42</v>
    <v t="s">Service</v>
    <v t="s">Intimate event</v>
    <v>3</v>
    <v t="r">3</v>
    <v t="s">Dina Aslam</v>
    <v t="s">Workshop</v>
    <v>2500</v>
    <v>0.2</v>
    <v t="s">Service</v>
    <v t="s">Corporate event</v>
    <v>4</v>
    <v t="r">4</v>
    <v t="s">Ethan Brooks</v>
    <v t="s">Product Launch</v>
    <v>4100</v>
    <v>0.45</v>
    <v t="s">Service</v>
    <v t="s">Corporate event</v>
    <v t="s">...</v>
    <v t="s">...</v>
    <v t="s">...</v>
    <v t="s">...</v>
    <v t="s">...</v>
    <v t="s">...</v>
    <v t="s">...</v>
    <v t="s">...</v>
    <v>16</v>
    <v t="r">5</v>
    <v t="s">Jessica Paul</v>
    <v t="s">Baby shower</v>
    <v>1500</v>
    <v>0.38</v>
    <v t="s">Service</v>
    <v t="s">Intimate event</v>
    <v>17</v>
    <v t="r">6</v>
    <v t="s">Elders Society</v>
    <v t="s">Garage Sale</v>
    <v>3000</v>
    <v>0.32</v>
    <v t="s">Service</v>
    <v t="s">Social event</v>
    <v>18</v>
    <v t="r">6</v>
    <v t="s">Mike Watt</v>
    <v t="s">Training</v>
    <v>2500</v>
    <v>0.2</v>
    <v t="s">Service</v>
    <v t="s">Corporate event</v>
    <v>19</v>
    <v t="r">7</v>
    <v t="s">Mira Yousaf</v>
    <v t="s">Exhibition</v>
    <v>3400</v>
    <v>0.5</v>
    <v t="s">Service</v>
    <v t="s">Corporate event</v>
    <v>20</v>
    <v t="r">8</v>
    <v t="s">Beck Co.</v>
    <v t="s">Fundraiser</v>
    <v>2000</v>
    <v>0.45</v>
    <v t="s">Service</v>
    <v t="s">Social event</v>
  </a>
  <a r="12" c="3">
    <v t="s"/>
    <v t="s">Event Type Count</v>
    <v t="s">Subtype Count</v>
    <v t="s">Baby shower</v>
    <v>1</v>
    <v t="r">12</v>
    <v t="s">Birthday</v>
    <v>1</v>
    <v t="r">12</v>
    <v t="s">Bridal Shower</v>
    <v>1</v>
    <v t="r">12</v>
    <v t="s">Corporate Dinner</v>
    <v>1</v>
    <v t="r">12</v>
    <v t="s">Corporate event</v>
    <v t="r">12</v>
    <v>13</v>
    <v t="s">...</v>
    <v t="s">...</v>
    <v t="s">...</v>
    <v t="s">Social event</v>
    <v t="r">12</v>
    <v>3</v>
    <v t="s">Training</v>
    <v>2</v>
    <v t="r">12</v>
    <v t="s" xml:space="preserve">Training </v>
    <v>1</v>
    <v t="r">12</v>
    <v t="s">Wedding</v>
    <v>1</v>
    <v t="r">12</v>
    <v t="s">Workshop</v>
    <v>2</v>
    <v t="r">12</v>
  </a>
  <a r="12" c="5">
    <v t="s"/>
    <v t="s">Event Type</v>
    <v t="s">Total Price</v>
    <v t="s">Remaining Payment</v>
    <v t="s">Payment Due Date</v>
    <v>0</v>
    <v t="s">Wedding</v>
    <v>2400</v>
    <v>1920</v>
    <v t="r">16</v>
    <v>1</v>
    <v t="s">Corporate Dinner</v>
    <v>3200</v>
    <v>2240</v>
    <v t="r">17</v>
    <v>2</v>
    <v t="s">Birthday</v>
    <v>1800</v>
    <v>1440</v>
    <v t="r">18</v>
    <v>3</v>
    <v t="s">Workshop</v>
    <v>2500</v>
    <v>1750</v>
    <v t="r">19</v>
    <v>4</v>
    <v t="s">Product Launch</v>
    <v>4100</v>
    <v>2870</v>
    <v t="r">20</v>
    <v t="s">...</v>
    <v t="s">...</v>
    <v t="s">...</v>
    <v t="s">...</v>
    <v t="s">...</v>
    <v>16</v>
    <v t="s">Baby shower</v>
    <v>1500</v>
    <v>1200</v>
    <v t="r">21</v>
    <v>17</v>
    <v t="s">Garage Sale</v>
    <v>3000</v>
    <v>3000</v>
    <v t="r">22</v>
    <v>18</v>
    <v t="s">Training</v>
    <v>2500</v>
    <v>1750</v>
    <v t="r">23</v>
    <v>19</v>
    <v t="s">Exhibition</v>
    <v>3400</v>
    <v>2380</v>
    <v t="r">22</v>
    <v>20</v>
    <v t="s">Fundraiser</v>
    <v>2000</v>
    <v>2000</v>
    <v t="r">24</v>
  </a>
  <a r="12" c="2">
    <v t="s">Payment Due Date</v>
    <v t="s">Remaining Payment</v>
    <v t="r">16</v>
    <v>1920</v>
    <v t="r">17</v>
    <v>2240</v>
    <v t="r">18</v>
    <v>1440</v>
    <v t="r">19</v>
    <v>1750</v>
    <v t="r">20</v>
    <v>4950</v>
    <v t="s">...</v>
    <v t="s">...</v>
    <v t="r">6</v>
    <v>2380</v>
    <v t="r">28</v>
    <v>1540</v>
    <v t="r">29</v>
    <v>1470</v>
    <v t="r">21</v>
    <v>1200</v>
    <v t="r">23</v>
    <v>5350</v>
  </a>
  <a r="2">
    <v>986</v>
    <v>590</v>
  </a>
  <a r="4" c="3">
    <v t="s"/>
    <v t="s">Subtype</v>
    <v t="s">Total Price</v>
    <v>0</v>
    <v t="s">Corporate event</v>
    <v>38700</v>
    <v>1</v>
    <v t="s">Intimate event</v>
    <v>10000</v>
    <v>2</v>
    <v t="s">Social event</v>
    <v>8600</v>
  </a>
</arrayData>
</file>

<file path=xl/richData/rdrichvalue.xml><?xml version="1.0" encoding="utf-8"?>
<rvData xmlns="http://schemas.microsoft.com/office/spreadsheetml/2017/richdata" count="48">
  <rv s="0">
    <fb>45810</fb>
    <v>2</v>
  </rv>
  <rv s="0">
    <fb>45811</fb>
    <v>2</v>
  </rv>
  <rv s="0">
    <fb>45812</fb>
    <v>2</v>
  </rv>
  <rv s="0">
    <fb>45813</fb>
    <v>2</v>
  </rv>
  <rv s="0">
    <fb>45814</fb>
    <v>2</v>
  </rv>
  <rv s="0">
    <fb>45830</fb>
    <v>2</v>
  </rv>
  <rv s="0">
    <fb>45831</fb>
    <v>2</v>
  </rv>
  <rv s="0">
    <fb>45834</fb>
    <v>2</v>
  </rv>
  <rv s="0">
    <fb>45835</fb>
    <v>2</v>
  </rv>
  <rv s="1">
    <v>0</v>
  </rv>
  <rv s="2">
    <v>DataFrame</v>
    <v>1</v>
    <v>9</v>
  </rv>
  <rv s="3">
    <v>&lt;class 'pandas.core.frame.DataFrame'&gt;</v>
    <v>DataFrame</v>
    <v xml:space="preserve">         Date     Client Name        Event Type  Total Price  Profit Margin  \
0  2025-06-02      Ava Carter           Wedding         2400           0.40   
1  2025-06-03      Ben Holmes  Corporate Dinner         3200           0.35   
2  2025-06-04  ...</v>
    <v>10</v>
    <v>3</v>
  </rv>
  <rv s="0">
    <fb>0</fb>
    <v>6</v>
  </rv>
  <rv s="1">
    <v>1</v>
  </rv>
  <rv s="2">
    <v>DataFrame</v>
    <v>5</v>
    <v>13</v>
  </rv>
  <rv s="3">
    <v>&lt;class 'pandas.core.frame.DataFrame'&gt;</v>
    <v>DataFrame</v>
    <v xml:space="preserve">                  Event Type Count  Subtype Count
Baby shower                    1.0            NaN
Birthday                       1.0            NaN
Bridal Shower                  1.0            NaN
Corporate Dinner               1.0            NaN
Co...</v>
    <v>14</v>
    <v>3</v>
  </rv>
  <rv s="0">
    <fb>45817</fb>
    <v>2</v>
  </rv>
  <rv s="0">
    <fb>45818</fb>
    <v>2</v>
  </rv>
  <rv s="0">
    <fb>45819</fb>
    <v>2</v>
  </rv>
  <rv s="0">
    <fb>45820</fb>
    <v>2</v>
  </rv>
  <rv s="0">
    <fb>45821</fb>
    <v>2</v>
  </rv>
  <rv s="0">
    <fb>45837</fb>
    <v>2</v>
  </rv>
  <rv s="0">
    <fb>45841</fb>
    <v>2</v>
  </rv>
  <rv s="0">
    <fb>45838</fb>
    <v>2</v>
  </rv>
  <rv s="0">
    <fb>45845</fb>
    <v>2</v>
  </rv>
  <rv s="1">
    <v>2</v>
  </rv>
  <rv s="2">
    <v>DataFrame</v>
    <v>8</v>
    <v>25</v>
  </rv>
  <rv s="3">
    <v>&lt;class 'pandas.core.frame.DataFrame'&gt;</v>
    <v>DataFrame</v>
    <v xml:space="preserve">          Event Type  Total Price  Remaining Payment Payment Due Date
0            Wedding         2400             1920.0       2025-06-09
1   Corporate Dinner         3200             2240.0       2025-06-10
2           Birthday         1800         ...</v>
    <v>26</v>
    <v>3</v>
  </rv>
  <rv s="0">
    <fb>45832</fb>
    <v>2</v>
  </rv>
  <rv s="0">
    <fb>45836</fb>
    <v>2</v>
  </rv>
  <rv s="1">
    <v>3</v>
  </rv>
  <rv s="2">
    <v>Series</v>
    <v>10</v>
    <v>30</v>
  </rv>
  <rv s="3">
    <v>&lt;class 'pandas.core.series.Series'&gt;</v>
    <v>Series</v>
    <v>Payment Due Date
2025-06-09    1920.0
2025-06-10    2240.0
2025-06-11    1440.0
2025-06-12    1750.0
2025-06-13    4950.0
2025-06-15    2100.0
2025-06-17    1360.0
2025-06-19    3500.0
2025-06-20    1610.0
2025-06-22    3500.0
2025-06-23    2380.0
2025...</v>
    <v>31</v>
    <v>3</v>
  </rv>
  <rv s="4">
    <v>0</v>
    <v>9</v>
  </rv>
  <rv s="1">
    <v>4</v>
  </rv>
  <rv s="5">
    <v>Image</v>
    <v>11</v>
    <v>33</v>
    <v>34</v>
  </rv>
  <rv s="3">
    <v>&lt;class 'PIL.PngImagePlugin.PngImageFile'&gt;</v>
    <v>PngImageFile</v>
    <v>&lt;PIL.PngImagePlugin.PngImageFile image mode=RGBA size=986x590 at 0x7F7F95D46960&gt;</v>
    <v>35</v>
    <v>3</v>
  </rv>
  <rv s="6">
    <v>dict</v>
    <v>dict</v>
    <v>13</v>
    <v>Fashion Show</v>
    <v>Ian Wood</v>
    <v>Corporate event</v>
  </rv>
  <rv s="3">
    <v>&lt;class 'dict'&gt;</v>
    <v>dict</v>
    <v>{'Event Type with Highest Average Profit': 'Fashion Show', 'Subtype with Highest Total Revenue': 'Corporate event', 'Most Frequent Client': 'Ian Wood'}</v>
    <v>37</v>
    <v>3</v>
  </rv>
  <rv s="1">
    <v>5</v>
  </rv>
  <rv s="2">
    <v>DataFrame</v>
    <v>15</v>
    <v>39</v>
  </rv>
  <rv s="3">
    <v>&lt;class 'pandas.core.frame.DataFrame'&gt;</v>
    <v>DataFrame</v>
    <v xml:space="preserve">           Subtype  Total Price
0  Corporate event        38700
1   Intimate event        10000
2     Social event         8600</v>
    <v>40</v>
    <v>3</v>
  </rv>
  <rv s="7">
    <fb t="s">Ian Wood</fb>
    <v>&lt;class 'str'&gt;</v>
    <v>str</v>
    <v>Ian Wood</v>
    <v>Ian Wood</v>
    <v>3</v>
  </rv>
  <rv s="0">
    <fb>45823</fb>
    <v>2</v>
  </rv>
  <rv s="0">
    <fb>45825</fb>
    <v>2</v>
  </rv>
  <rv s="0">
    <fb>45827</fb>
    <v>2</v>
  </rv>
  <rv s="0">
    <fb>45828</fb>
    <v>2</v>
  </rv>
  <rv s="8">
    <v>16</v>
    <v>dict</v>
    <v>Fashion Show</v>
    <v>Ian Wood</v>
    <v>Corporate event</v>
  </rv>
</rvData>
</file>

<file path=xl/richData/rdrichvaluestructure.xml><?xml version="1.0" encoding="utf-8"?>
<rvStructures xmlns="http://schemas.microsoft.com/office/spreadsheetml/2017/richdata" count="9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  <s t="_entity">
    <k n="_DisplayString" t="s"/>
    <k n="_Title" t="s"/>
    <k n="_ViewInfo" t="spb"/>
    <k n="Event Type with Highest Average Profit" t="s"/>
    <k n="Most Frequent Client" t="s"/>
    <k n="Subtype with Highest Total Revenue" t="s"/>
  </s>
  <s t="_python">
    <k n="Python_type" t="s"/>
    <k n="Python_typeName" t="s"/>
    <k n="Python_str" t="s"/>
    <k n="basicValue" t="s"/>
    <k n="_Provider" t="spb"/>
  </s>
  <s t="_entity">
    <k n="_Display" t="spb"/>
    <k n="_DisplayString" t="s"/>
    <k n="Event Type with Highest Average Profit" t="s"/>
    <k n="Most Frequent Client" t="s"/>
    <k n="Subtype with Highest Total Revenue" t="s"/>
  </s>
</rvStructures>
</file>

<file path=xl/richData/rdsupportingpropertybag.xml><?xml version="1.0" encoding="utf-8"?>
<supportingPropertyBags xmlns="http://schemas.microsoft.com/office/spreadsheetml/2017/richdata2">
  <spbArrays count="3">
    <a count="3">
      <v t="s">Event Type with Highest Average Profit</v>
      <v t="s">Subtype with Highest Total Revenue</v>
      <v t="s">Most Frequent Client</v>
    </a>
    <a count="1">
      <v t="spb">12</v>
    </a>
    <a count="5">
      <v t="s">Event Type with Highest Average Profit</v>
      <v t="s">Most Frequent Client</v>
      <v t="s">Subtype with Highest Total Revenue</v>
      <v t="s">_DisplayString</v>
      <v t="s">_Display</v>
    </a>
  </spbArrays>
  <spbData count="17">
    <spb s="0">
      <v>21</v>
      <v>7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  <spb s="0">
      <v>20</v>
      <v>2</v>
      <v>DataFrame</v>
      <v>arrayPreview</v>
      <v>1</v>
    </spb>
    <spb s="1">
      <v>4</v>
    </spb>
    <spb s="2">
      <v>2</v>
    </spb>
    <spb s="0">
      <v>21</v>
      <v>4</v>
      <v>DataFrame</v>
      <v>arrayPreview</v>
      <v>1</v>
    </spb>
    <spb s="1">
      <v>7</v>
    </spb>
    <spb s="0">
      <v>15</v>
      <v>1</v>
      <v>Series</v>
      <v>arrayPreview</v>
      <v>1</v>
    </spb>
    <spb s="1">
      <v>9</v>
    </spb>
    <spb s="4">
      <v>3</v>
    </spb>
    <spb s="5">
      <v>0</v>
    </spb>
    <spb s="6">
      <v>1</v>
    </spb>
    <spb s="0">
      <v>3</v>
      <v>2</v>
      <v>DataFrame</v>
      <v>arrayPreview</v>
      <v>1</v>
    </spb>
    <spb s="1">
      <v>14</v>
    </spb>
    <spb s="7">
      <v>2</v>
    </spb>
  </spbData>
</supportingPropertyBags>
</file>

<file path=xl/richData/rdsupportingpropertybagstructure.xml><?xml version="1.0" encoding="utf-8"?>
<spbStructures xmlns="http://schemas.microsoft.com/office/spreadsheetml/2017/richdata2" count="8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  <s>
    <k n="fields" t="spba"/>
  </s>
  <s>
    <k n="pods" t="spba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  <rPr n="IsHeroField" t="b"/>
  </richProperties>
  <richStyles>
    <rSty dxfid="0"/>
    <rSty dxfid="1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I16" sqref="I16"/>
    </sheetView>
  </sheetViews>
  <sheetFormatPr defaultRowHeight="15" x14ac:dyDescent="0.25"/>
  <cols>
    <col min="1" max="1" width="15.7109375" bestFit="1" customWidth="1"/>
    <col min="2" max="2" width="16.140625" bestFit="1" customWidth="1"/>
    <col min="3" max="3" width="8.7109375" bestFit="1" customWidth="1"/>
    <col min="4" max="4" width="13.7109375" bestFit="1" customWidth="1"/>
    <col min="5" max="5" width="12.85546875" bestFit="1" customWidth="1"/>
    <col min="8" max="8" width="12.5703125" bestFit="1" customWidth="1"/>
    <col min="9" max="9" width="20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8</v>
      </c>
      <c r="D2" t="s">
        <v>11</v>
      </c>
      <c r="E2">
        <v>150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>
        <v>20</v>
      </c>
      <c r="D3" t="s">
        <v>18</v>
      </c>
      <c r="E3">
        <v>80</v>
      </c>
      <c r="F3" t="s">
        <v>19</v>
      </c>
      <c r="G3" t="s">
        <v>20</v>
      </c>
      <c r="H3" t="s">
        <v>14</v>
      </c>
      <c r="I3" t="s">
        <v>21</v>
      </c>
    </row>
    <row r="4" spans="1:9" x14ac:dyDescent="0.25">
      <c r="A4" t="s">
        <v>22</v>
      </c>
      <c r="B4" t="s">
        <v>23</v>
      </c>
      <c r="C4">
        <v>12</v>
      </c>
      <c r="D4" t="s">
        <v>24</v>
      </c>
      <c r="E4">
        <v>120</v>
      </c>
      <c r="F4" t="s">
        <v>12</v>
      </c>
      <c r="G4" t="s">
        <v>13</v>
      </c>
      <c r="H4" t="s">
        <v>14</v>
      </c>
      <c r="I4" t="s">
        <v>25</v>
      </c>
    </row>
    <row r="5" spans="1:9" x14ac:dyDescent="0.25">
      <c r="A5" t="s">
        <v>26</v>
      </c>
      <c r="B5" t="s">
        <v>27</v>
      </c>
      <c r="C5">
        <v>35</v>
      </c>
      <c r="D5" t="s">
        <v>28</v>
      </c>
      <c r="E5">
        <v>45</v>
      </c>
      <c r="F5" t="s">
        <v>19</v>
      </c>
      <c r="G5" t="s">
        <v>13</v>
      </c>
      <c r="H5" t="s">
        <v>29</v>
      </c>
      <c r="I5" t="s">
        <v>30</v>
      </c>
    </row>
    <row r="6" spans="1:9" x14ac:dyDescent="0.25">
      <c r="A6" t="s">
        <v>31</v>
      </c>
      <c r="B6" t="s">
        <v>10</v>
      </c>
      <c r="C6">
        <v>4</v>
      </c>
      <c r="D6" t="s">
        <v>32</v>
      </c>
      <c r="E6">
        <v>500</v>
      </c>
      <c r="F6" t="s">
        <v>12</v>
      </c>
      <c r="G6" t="s">
        <v>13</v>
      </c>
      <c r="H6" t="s">
        <v>29</v>
      </c>
      <c r="I6" t="s">
        <v>33</v>
      </c>
    </row>
    <row r="7" spans="1:9" x14ac:dyDescent="0.25">
      <c r="A7" t="s">
        <v>34</v>
      </c>
      <c r="B7" t="s">
        <v>23</v>
      </c>
      <c r="C7">
        <v>30</v>
      </c>
      <c r="D7" t="s">
        <v>35</v>
      </c>
      <c r="E7">
        <v>60</v>
      </c>
      <c r="F7" t="s">
        <v>12</v>
      </c>
      <c r="G7" t="s">
        <v>20</v>
      </c>
      <c r="H7" t="s">
        <v>29</v>
      </c>
      <c r="I7" t="s">
        <v>36</v>
      </c>
    </row>
    <row r="8" spans="1:9" x14ac:dyDescent="0.25">
      <c r="A8" t="s">
        <v>37</v>
      </c>
      <c r="B8" t="s">
        <v>38</v>
      </c>
      <c r="C8">
        <v>5</v>
      </c>
      <c r="D8" t="s">
        <v>39</v>
      </c>
      <c r="E8">
        <v>450</v>
      </c>
      <c r="F8" t="s">
        <v>19</v>
      </c>
      <c r="G8" t="s">
        <v>13</v>
      </c>
      <c r="H8" t="s">
        <v>14</v>
      </c>
      <c r="I8" t="s">
        <v>40</v>
      </c>
    </row>
    <row r="9" spans="1:9" x14ac:dyDescent="0.25">
      <c r="A9" t="s">
        <v>41</v>
      </c>
      <c r="B9" t="s">
        <v>17</v>
      </c>
      <c r="C9">
        <v>10</v>
      </c>
      <c r="D9" t="s">
        <v>42</v>
      </c>
      <c r="E9">
        <v>90</v>
      </c>
      <c r="F9" t="s">
        <v>12</v>
      </c>
      <c r="G9" t="s">
        <v>20</v>
      </c>
      <c r="H9" t="s">
        <v>14</v>
      </c>
      <c r="I9" t="s">
        <v>43</v>
      </c>
    </row>
    <row r="10" spans="1:9" x14ac:dyDescent="0.25">
      <c r="A10" t="s">
        <v>44</v>
      </c>
      <c r="B10" t="s">
        <v>23</v>
      </c>
      <c r="C10">
        <v>14</v>
      </c>
      <c r="D10" t="s">
        <v>45</v>
      </c>
      <c r="E10">
        <v>130</v>
      </c>
      <c r="F10" t="s">
        <v>12</v>
      </c>
      <c r="G10" t="s">
        <v>13</v>
      </c>
      <c r="H10" t="s">
        <v>29</v>
      </c>
      <c r="I10" t="s">
        <v>36</v>
      </c>
    </row>
    <row r="11" spans="1:9" x14ac:dyDescent="0.25">
      <c r="A11" t="s">
        <v>46</v>
      </c>
      <c r="B11" t="s">
        <v>47</v>
      </c>
      <c r="C11">
        <v>10</v>
      </c>
      <c r="D11" t="s">
        <v>48</v>
      </c>
      <c r="E11">
        <v>200</v>
      </c>
      <c r="F11" t="s">
        <v>19</v>
      </c>
      <c r="G11" t="s">
        <v>20</v>
      </c>
      <c r="H11" t="s">
        <v>14</v>
      </c>
      <c r="I11" t="s">
        <v>49</v>
      </c>
    </row>
    <row r="12" spans="1:9" x14ac:dyDescent="0.25">
      <c r="A12" t="s">
        <v>50</v>
      </c>
      <c r="B12" t="s">
        <v>27</v>
      </c>
      <c r="C12">
        <v>25</v>
      </c>
      <c r="D12" t="s">
        <v>51</v>
      </c>
      <c r="E12">
        <v>55</v>
      </c>
      <c r="F12" t="s">
        <v>19</v>
      </c>
      <c r="G12" t="s">
        <v>13</v>
      </c>
      <c r="H12" t="s">
        <v>14</v>
      </c>
      <c r="I12" t="s">
        <v>52</v>
      </c>
    </row>
    <row r="13" spans="1:9" x14ac:dyDescent="0.25">
      <c r="A13" t="s">
        <v>53</v>
      </c>
      <c r="B13" t="s">
        <v>54</v>
      </c>
      <c r="C13">
        <v>60</v>
      </c>
      <c r="D13" t="s">
        <v>55</v>
      </c>
      <c r="E13">
        <v>25</v>
      </c>
      <c r="F13" t="s">
        <v>19</v>
      </c>
      <c r="G13" t="s">
        <v>13</v>
      </c>
      <c r="H13" t="s">
        <v>29</v>
      </c>
      <c r="I13" t="s">
        <v>56</v>
      </c>
    </row>
    <row r="14" spans="1:9" x14ac:dyDescent="0.25">
      <c r="A14" t="s">
        <v>57</v>
      </c>
      <c r="B14" t="s">
        <v>54</v>
      </c>
      <c r="C14">
        <v>40</v>
      </c>
      <c r="D14" t="s">
        <v>58</v>
      </c>
      <c r="E14">
        <v>35</v>
      </c>
      <c r="F14" t="s">
        <v>12</v>
      </c>
      <c r="G14" t="s">
        <v>20</v>
      </c>
      <c r="H14" t="s">
        <v>29</v>
      </c>
      <c r="I14" t="s">
        <v>59</v>
      </c>
    </row>
    <row r="15" spans="1:9" x14ac:dyDescent="0.25">
      <c r="A15" t="s">
        <v>60</v>
      </c>
      <c r="B15" t="s">
        <v>27</v>
      </c>
      <c r="C15">
        <v>50</v>
      </c>
      <c r="D15" t="s">
        <v>61</v>
      </c>
      <c r="E15">
        <v>20</v>
      </c>
      <c r="F15" t="s">
        <v>19</v>
      </c>
      <c r="G15" t="s">
        <v>13</v>
      </c>
      <c r="H15" t="s">
        <v>14</v>
      </c>
      <c r="I15" t="s">
        <v>62</v>
      </c>
    </row>
    <row r="16" spans="1:9" x14ac:dyDescent="0.25">
      <c r="A16" t="s">
        <v>63</v>
      </c>
      <c r="B16" t="s">
        <v>64</v>
      </c>
      <c r="C16">
        <v>15</v>
      </c>
      <c r="D16" t="s">
        <v>65</v>
      </c>
      <c r="E16">
        <v>15</v>
      </c>
      <c r="F16" t="s">
        <v>12</v>
      </c>
      <c r="G16" t="s">
        <v>13</v>
      </c>
      <c r="H16" t="s">
        <v>29</v>
      </c>
      <c r="I16" t="s">
        <v>66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opLeftCell="A3" workbookViewId="0">
      <selection activeCell="D23" sqref="D23"/>
    </sheetView>
  </sheetViews>
  <sheetFormatPr defaultRowHeight="15" x14ac:dyDescent="0.25"/>
  <cols>
    <col min="1" max="1" width="10.42578125" bestFit="1" customWidth="1"/>
    <col min="2" max="2" width="17.42578125" customWidth="1"/>
    <col min="3" max="3" width="17" bestFit="1" customWidth="1"/>
    <col min="4" max="4" width="10.5703125" bestFit="1" customWidth="1"/>
    <col min="5" max="5" width="14.28515625" customWidth="1"/>
    <col min="7" max="7" width="18.28515625" customWidth="1"/>
  </cols>
  <sheetData>
    <row r="1" spans="1:7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25">
      <c r="A2" s="2">
        <v>45810</v>
      </c>
      <c r="B2" t="s">
        <v>74</v>
      </c>
      <c r="C2" t="s">
        <v>75</v>
      </c>
      <c r="D2" s="4">
        <v>2400</v>
      </c>
      <c r="E2" s="6">
        <v>0.4</v>
      </c>
      <c r="F2" t="s">
        <v>76</v>
      </c>
      <c r="G2" t="s">
        <v>77</v>
      </c>
    </row>
    <row r="3" spans="1:7" x14ac:dyDescent="0.25">
      <c r="A3" s="2">
        <v>45811</v>
      </c>
      <c r="B3" t="s">
        <v>78</v>
      </c>
      <c r="C3" t="s">
        <v>79</v>
      </c>
      <c r="D3" s="4">
        <v>3200</v>
      </c>
      <c r="E3" s="6">
        <v>0.35</v>
      </c>
      <c r="F3" t="s">
        <v>76</v>
      </c>
      <c r="G3" t="s">
        <v>80</v>
      </c>
    </row>
    <row r="4" spans="1:7" x14ac:dyDescent="0.25">
      <c r="A4" s="2">
        <v>45812</v>
      </c>
      <c r="B4" t="s">
        <v>81</v>
      </c>
      <c r="C4" t="s">
        <v>82</v>
      </c>
      <c r="D4" s="4">
        <v>1800</v>
      </c>
      <c r="E4" s="6">
        <v>0.42</v>
      </c>
      <c r="F4" t="s">
        <v>76</v>
      </c>
      <c r="G4" t="s">
        <v>77</v>
      </c>
    </row>
    <row r="5" spans="1:7" x14ac:dyDescent="0.25">
      <c r="A5" s="2">
        <v>45813</v>
      </c>
      <c r="B5" t="s">
        <v>83</v>
      </c>
      <c r="C5" t="s">
        <v>84</v>
      </c>
      <c r="D5" s="4">
        <v>2500</v>
      </c>
      <c r="E5" s="6">
        <v>0.2</v>
      </c>
      <c r="F5" t="s">
        <v>76</v>
      </c>
      <c r="G5" t="s">
        <v>80</v>
      </c>
    </row>
    <row r="6" spans="1:7" x14ac:dyDescent="0.25">
      <c r="A6" s="2">
        <v>45814</v>
      </c>
      <c r="B6" t="s">
        <v>85</v>
      </c>
      <c r="C6" t="s">
        <v>86</v>
      </c>
      <c r="D6" s="4">
        <v>4100</v>
      </c>
      <c r="E6" s="6">
        <v>0.45</v>
      </c>
      <c r="F6" t="s">
        <v>76</v>
      </c>
      <c r="G6" t="s">
        <v>80</v>
      </c>
    </row>
    <row r="7" spans="1:7" x14ac:dyDescent="0.25">
      <c r="A7" s="2">
        <v>45814</v>
      </c>
      <c r="B7" t="s">
        <v>87</v>
      </c>
      <c r="C7" t="s">
        <v>88</v>
      </c>
      <c r="D7" s="4">
        <v>2600</v>
      </c>
      <c r="E7" s="6">
        <v>0.43</v>
      </c>
      <c r="F7" t="s">
        <v>76</v>
      </c>
      <c r="G7" t="s">
        <v>77</v>
      </c>
    </row>
    <row r="8" spans="1:7" x14ac:dyDescent="0.25">
      <c r="A8" s="2">
        <v>45816</v>
      </c>
      <c r="B8" t="s">
        <v>89</v>
      </c>
      <c r="C8" t="s">
        <v>84</v>
      </c>
      <c r="D8" s="4">
        <v>3000</v>
      </c>
      <c r="E8" s="6">
        <v>0.2</v>
      </c>
      <c r="F8" t="s">
        <v>76</v>
      </c>
      <c r="G8" t="s">
        <v>80</v>
      </c>
    </row>
    <row r="9" spans="1:7" x14ac:dyDescent="0.25">
      <c r="A9" s="2">
        <v>45818</v>
      </c>
      <c r="B9" t="s">
        <v>90</v>
      </c>
      <c r="C9" t="s">
        <v>91</v>
      </c>
      <c r="D9" s="4">
        <v>1700</v>
      </c>
      <c r="E9" s="6">
        <v>0.45</v>
      </c>
      <c r="F9" t="s">
        <v>76</v>
      </c>
      <c r="G9" t="s">
        <v>77</v>
      </c>
    </row>
    <row r="10" spans="1:7" x14ac:dyDescent="0.25">
      <c r="A10" s="2">
        <v>45820</v>
      </c>
      <c r="B10" t="s">
        <v>92</v>
      </c>
      <c r="C10" t="s">
        <v>93</v>
      </c>
      <c r="D10" s="4">
        <v>2100</v>
      </c>
      <c r="E10" s="6">
        <v>0.2</v>
      </c>
      <c r="F10" t="s">
        <v>76</v>
      </c>
      <c r="G10" t="s">
        <v>80</v>
      </c>
    </row>
    <row r="11" spans="1:7" x14ac:dyDescent="0.25">
      <c r="A11" s="2">
        <v>45820</v>
      </c>
      <c r="B11" t="s">
        <v>94</v>
      </c>
      <c r="C11" t="s">
        <v>95</v>
      </c>
      <c r="D11" s="4">
        <v>2900</v>
      </c>
      <c r="E11" s="6">
        <v>0.5</v>
      </c>
      <c r="F11" t="s">
        <v>76</v>
      </c>
      <c r="G11" t="s">
        <v>80</v>
      </c>
    </row>
    <row r="12" spans="1:7" x14ac:dyDescent="0.25">
      <c r="A12" s="2">
        <v>45821</v>
      </c>
      <c r="B12" t="s">
        <v>96</v>
      </c>
      <c r="C12" t="s">
        <v>97</v>
      </c>
      <c r="D12" s="4">
        <v>2300</v>
      </c>
      <c r="E12" s="6">
        <v>0.48</v>
      </c>
      <c r="F12" t="s">
        <v>76</v>
      </c>
      <c r="G12" t="s">
        <v>80</v>
      </c>
    </row>
    <row r="13" spans="1:7" x14ac:dyDescent="0.25">
      <c r="A13" s="2">
        <v>45823</v>
      </c>
      <c r="B13" t="s">
        <v>98</v>
      </c>
      <c r="C13" t="s">
        <v>99</v>
      </c>
      <c r="D13" s="4">
        <v>5000</v>
      </c>
      <c r="E13" s="6">
        <v>0.3</v>
      </c>
      <c r="F13" t="s">
        <v>76</v>
      </c>
      <c r="G13" t="s">
        <v>80</v>
      </c>
    </row>
    <row r="14" spans="1:7" x14ac:dyDescent="0.25">
      <c r="A14" s="2">
        <v>45824</v>
      </c>
      <c r="B14" t="s">
        <v>100</v>
      </c>
      <c r="C14" t="s">
        <v>101</v>
      </c>
      <c r="D14" s="4">
        <v>3400</v>
      </c>
      <c r="E14" s="6">
        <v>0.48</v>
      </c>
      <c r="F14" t="s">
        <v>76</v>
      </c>
      <c r="G14" t="s">
        <v>80</v>
      </c>
    </row>
    <row r="15" spans="1:7" x14ac:dyDescent="0.25">
      <c r="A15" s="2">
        <v>45825</v>
      </c>
      <c r="B15" t="s">
        <v>102</v>
      </c>
      <c r="C15" t="s">
        <v>103</v>
      </c>
      <c r="D15" s="4">
        <v>2200</v>
      </c>
      <c r="E15" s="6">
        <v>0.25</v>
      </c>
      <c r="F15" t="s">
        <v>76</v>
      </c>
      <c r="G15" t="s">
        <v>80</v>
      </c>
    </row>
    <row r="16" spans="1:7" x14ac:dyDescent="0.25">
      <c r="A16" s="2">
        <v>45828</v>
      </c>
      <c r="B16" t="s">
        <v>104</v>
      </c>
      <c r="C16" t="s">
        <v>105</v>
      </c>
      <c r="D16" s="4">
        <v>3600</v>
      </c>
      <c r="E16" s="6">
        <v>0.28000000000000003</v>
      </c>
      <c r="F16" t="s">
        <v>76</v>
      </c>
      <c r="G16" t="s">
        <v>106</v>
      </c>
    </row>
    <row r="17" spans="1:7" x14ac:dyDescent="0.25">
      <c r="A17" s="2">
        <v>45829</v>
      </c>
      <c r="B17" t="s">
        <v>92</v>
      </c>
      <c r="C17" t="s">
        <v>107</v>
      </c>
      <c r="D17" s="4">
        <v>2100</v>
      </c>
      <c r="E17" s="6">
        <v>0.2</v>
      </c>
      <c r="F17" t="s">
        <v>76</v>
      </c>
      <c r="G17" t="s">
        <v>80</v>
      </c>
    </row>
    <row r="18" spans="1:7" x14ac:dyDescent="0.25">
      <c r="A18" s="2">
        <v>45830</v>
      </c>
      <c r="B18" t="s">
        <v>108</v>
      </c>
      <c r="C18" t="s">
        <v>109</v>
      </c>
      <c r="D18" s="4">
        <v>1500</v>
      </c>
      <c r="E18" s="6">
        <v>0.38</v>
      </c>
      <c r="F18" t="s">
        <v>76</v>
      </c>
      <c r="G18" t="s">
        <v>77</v>
      </c>
    </row>
    <row r="19" spans="1:7" x14ac:dyDescent="0.25">
      <c r="A19" s="2">
        <v>45831</v>
      </c>
      <c r="B19" t="s">
        <v>110</v>
      </c>
      <c r="C19" t="s">
        <v>111</v>
      </c>
      <c r="D19" s="4">
        <v>3000</v>
      </c>
      <c r="E19" s="6">
        <v>0.32</v>
      </c>
      <c r="F19" t="s">
        <v>76</v>
      </c>
      <c r="G19" t="s">
        <v>106</v>
      </c>
    </row>
    <row r="20" spans="1:7" x14ac:dyDescent="0.25">
      <c r="A20" s="2">
        <v>45831</v>
      </c>
      <c r="B20" t="s">
        <v>112</v>
      </c>
      <c r="C20" t="s">
        <v>93</v>
      </c>
      <c r="D20" s="4">
        <v>2500</v>
      </c>
      <c r="E20" s="6">
        <v>0.2</v>
      </c>
      <c r="F20" t="s">
        <v>76</v>
      </c>
      <c r="G20" t="s">
        <v>80</v>
      </c>
    </row>
    <row r="21" spans="1:7" x14ac:dyDescent="0.25">
      <c r="A21" s="2">
        <v>45834</v>
      </c>
      <c r="B21" t="s">
        <v>100</v>
      </c>
      <c r="C21" t="s">
        <v>101</v>
      </c>
      <c r="D21" s="4">
        <v>3400</v>
      </c>
      <c r="E21" s="6">
        <v>0.5</v>
      </c>
      <c r="F21" t="s">
        <v>76</v>
      </c>
      <c r="G21" t="s">
        <v>80</v>
      </c>
    </row>
    <row r="22" spans="1:7" x14ac:dyDescent="0.25">
      <c r="A22" s="3">
        <v>45835</v>
      </c>
      <c r="B22" t="s">
        <v>113</v>
      </c>
      <c r="C22" t="s">
        <v>105</v>
      </c>
      <c r="D22" s="4">
        <v>2000</v>
      </c>
      <c r="E22" s="6">
        <v>0.45</v>
      </c>
      <c r="F22" t="s">
        <v>76</v>
      </c>
      <c r="G22" t="s">
        <v>106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0B97-E3EC-4796-B240-0CD28947005D}">
  <dimension ref="A1:B4"/>
  <sheetViews>
    <sheetView workbookViewId="0">
      <selection activeCell="G17" sqref="G17"/>
    </sheetView>
  </sheetViews>
  <sheetFormatPr defaultRowHeight="15" x14ac:dyDescent="0.25"/>
  <cols>
    <col min="1" max="1" width="15.5703125" bestFit="1" customWidth="1"/>
    <col min="2" max="2" width="41.28515625" bestFit="1" customWidth="1"/>
  </cols>
  <sheetData>
    <row r="1" spans="1:2" x14ac:dyDescent="0.25">
      <c r="A1" s="5" t="s">
        <v>73</v>
      </c>
      <c r="B1" s="5" t="s">
        <v>114</v>
      </c>
    </row>
    <row r="2" spans="1:2" x14ac:dyDescent="0.25">
      <c r="A2" t="s">
        <v>77</v>
      </c>
      <c r="B2" t="s">
        <v>115</v>
      </c>
    </row>
    <row r="3" spans="1:2" x14ac:dyDescent="0.25">
      <c r="A3" t="s">
        <v>80</v>
      </c>
      <c r="B3" t="s">
        <v>127</v>
      </c>
    </row>
    <row r="4" spans="1:2" x14ac:dyDescent="0.25">
      <c r="A4" t="s">
        <v>106</v>
      </c>
      <c r="B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C023-E5E8-47E5-8EC5-A4B18E7FF96D}">
  <dimension ref="A1:J114"/>
  <sheetViews>
    <sheetView workbookViewId="0">
      <selection activeCell="E1" sqref="E1"/>
    </sheetView>
  </sheetViews>
  <sheetFormatPr defaultRowHeight="15" x14ac:dyDescent="0.25"/>
  <cols>
    <col min="1" max="1" width="13.42578125" customWidth="1"/>
    <col min="2" max="2" width="17.85546875" customWidth="1"/>
    <col min="3" max="3" width="14.140625" customWidth="1"/>
    <col min="4" max="4" width="19" bestFit="1" customWidth="1"/>
    <col min="5" max="5" width="18.7109375" customWidth="1"/>
  </cols>
  <sheetData>
    <row r="1" spans="1:10" ht="31.5" x14ac:dyDescent="0.5">
      <c r="A1" s="7" t="s">
        <v>117</v>
      </c>
    </row>
    <row r="2" spans="1:10" x14ac:dyDescent="0.25">
      <c r="A2" t="s">
        <v>118</v>
      </c>
    </row>
    <row r="5" spans="1:10" ht="18.75" x14ac:dyDescent="0.3">
      <c r="A5" s="8" t="s">
        <v>119</v>
      </c>
    </row>
    <row r="6" spans="1:10" x14ac:dyDescent="0.25">
      <c r="A6" t="e" cm="1" vm="1">
        <f t="array" ref="A6">_xlfn._xlws.PY(0,1,Service_Transactions!A1:G22)</f>
        <v>#VALUE!</v>
      </c>
    </row>
    <row r="8" spans="1:10" ht="15.75" x14ac:dyDescent="0.25">
      <c r="A8" s="9" t="s">
        <v>120</v>
      </c>
    </row>
    <row r="9" spans="1:10" x14ac:dyDescent="0.25">
      <c r="A9" t="str" cm="1">
        <f t="array" ref="A9:H20">IFERROR(_FV(A6,"arrayPreview"),_xlfn._DF_Python_str(A6))</f>
        <v/>
      </c>
      <c r="B9" t="str">
        <v>Date</v>
      </c>
      <c r="C9" t="str">
        <v>Client Name</v>
      </c>
      <c r="D9" t="str">
        <v>Event Type</v>
      </c>
      <c r="E9" t="str">
        <v>Total Price</v>
      </c>
      <c r="F9" t="str">
        <v>Profit Margin</v>
      </c>
      <c r="G9" t="str">
        <v>Type</v>
      </c>
      <c r="H9" t="str">
        <v>Subtype</v>
      </c>
    </row>
    <row r="10" spans="1:10" x14ac:dyDescent="0.25">
      <c r="A10">
        <v>0</v>
      </c>
      <c r="B10" vm="2">
        <v>45810</v>
      </c>
      <c r="C10" t="str">
        <v>Ava Carter</v>
      </c>
      <c r="D10" t="str">
        <v>Wedding</v>
      </c>
      <c r="E10">
        <v>2400</v>
      </c>
      <c r="F10">
        <v>0.4</v>
      </c>
      <c r="G10" t="str">
        <v>Service</v>
      </c>
      <c r="H10" t="str">
        <v>Intimate event</v>
      </c>
    </row>
    <row r="11" spans="1:10" x14ac:dyDescent="0.25">
      <c r="A11">
        <v>1</v>
      </c>
      <c r="B11" vm="3">
        <v>45811</v>
      </c>
      <c r="C11" t="str">
        <v>Ben Holmes</v>
      </c>
      <c r="D11" t="str">
        <v>Corporate Dinner</v>
      </c>
      <c r="E11">
        <v>3200</v>
      </c>
      <c r="F11">
        <v>0.35</v>
      </c>
      <c r="G11" t="str">
        <v>Service</v>
      </c>
      <c r="H11" t="str">
        <v>Corporate event</v>
      </c>
      <c r="J11" t="s">
        <v>126</v>
      </c>
    </row>
    <row r="12" spans="1:10" x14ac:dyDescent="0.25">
      <c r="A12">
        <v>2</v>
      </c>
      <c r="B12" vm="4">
        <v>45812</v>
      </c>
      <c r="C12" t="str">
        <v>Charlie Yu</v>
      </c>
      <c r="D12" t="str">
        <v>Birthday</v>
      </c>
      <c r="E12">
        <v>1800</v>
      </c>
      <c r="F12">
        <v>0.42</v>
      </c>
      <c r="G12" t="str">
        <v>Service</v>
      </c>
      <c r="H12" t="str">
        <v>Intimate event</v>
      </c>
    </row>
    <row r="13" spans="1:10" x14ac:dyDescent="0.25">
      <c r="A13">
        <v>3</v>
      </c>
      <c r="B13" vm="5">
        <v>45813</v>
      </c>
      <c r="C13" t="str">
        <v>Dina Aslam</v>
      </c>
      <c r="D13" t="str">
        <v>Workshop</v>
      </c>
      <c r="E13">
        <v>2500</v>
      </c>
      <c r="F13">
        <v>0.2</v>
      </c>
      <c r="G13" t="str">
        <v>Service</v>
      </c>
      <c r="H13" t="str">
        <v>Corporate event</v>
      </c>
    </row>
    <row r="14" spans="1:10" x14ac:dyDescent="0.25">
      <c r="A14">
        <v>4</v>
      </c>
      <c r="B14" vm="6">
        <v>45814</v>
      </c>
      <c r="C14" t="str">
        <v>Ethan Brooks</v>
      </c>
      <c r="D14" t="str">
        <v>Product Launch</v>
      </c>
      <c r="E14">
        <v>4100</v>
      </c>
      <c r="F14">
        <v>0.45</v>
      </c>
      <c r="G14" t="str">
        <v>Service</v>
      </c>
      <c r="H14" t="str">
        <v>Corporate event</v>
      </c>
    </row>
    <row r="15" spans="1:10" x14ac:dyDescent="0.25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  <c r="G15" t="str">
        <v>...</v>
      </c>
      <c r="H15" t="str">
        <v>...</v>
      </c>
    </row>
    <row r="16" spans="1:10" x14ac:dyDescent="0.25">
      <c r="A16">
        <v>16</v>
      </c>
      <c r="B16" vm="7">
        <v>45830</v>
      </c>
      <c r="C16" t="str">
        <v>Jessica Paul</v>
      </c>
      <c r="D16" t="str">
        <v>Baby shower</v>
      </c>
      <c r="E16">
        <v>1500</v>
      </c>
      <c r="F16">
        <v>0.38</v>
      </c>
      <c r="G16" t="str">
        <v>Service</v>
      </c>
      <c r="H16" t="str">
        <v>Intimate event</v>
      </c>
    </row>
    <row r="17" spans="1:8" x14ac:dyDescent="0.25">
      <c r="A17">
        <v>17</v>
      </c>
      <c r="B17" vm="8">
        <v>45831</v>
      </c>
      <c r="C17" t="str">
        <v>Elders Society</v>
      </c>
      <c r="D17" t="str">
        <v>Garage Sale</v>
      </c>
      <c r="E17">
        <v>3000</v>
      </c>
      <c r="F17">
        <v>0.32</v>
      </c>
      <c r="G17" t="str">
        <v>Service</v>
      </c>
      <c r="H17" t="str">
        <v>Social event</v>
      </c>
    </row>
    <row r="18" spans="1:8" x14ac:dyDescent="0.25">
      <c r="A18">
        <v>18</v>
      </c>
      <c r="B18" vm="8">
        <v>45831</v>
      </c>
      <c r="C18" t="str">
        <v>Mike Watt</v>
      </c>
      <c r="D18" t="str">
        <v>Training</v>
      </c>
      <c r="E18">
        <v>2500</v>
      </c>
      <c r="F18">
        <v>0.2</v>
      </c>
      <c r="G18" t="str">
        <v>Service</v>
      </c>
      <c r="H18" t="str">
        <v>Corporate event</v>
      </c>
    </row>
    <row r="19" spans="1:8" x14ac:dyDescent="0.25">
      <c r="A19">
        <v>19</v>
      </c>
      <c r="B19" vm="9">
        <v>45834</v>
      </c>
      <c r="C19" t="str">
        <v>Mira Yousaf</v>
      </c>
      <c r="D19" t="str">
        <v>Exhibition</v>
      </c>
      <c r="E19">
        <v>3400</v>
      </c>
      <c r="F19">
        <v>0.5</v>
      </c>
      <c r="G19" t="str">
        <v>Service</v>
      </c>
      <c r="H19" t="str">
        <v>Corporate event</v>
      </c>
    </row>
    <row r="20" spans="1:8" x14ac:dyDescent="0.25">
      <c r="A20">
        <v>20</v>
      </c>
      <c r="B20" vm="10">
        <v>45835</v>
      </c>
      <c r="C20" t="str">
        <v>Beck Co.</v>
      </c>
      <c r="D20" t="str">
        <v>Fundraiser</v>
      </c>
      <c r="E20">
        <v>2000</v>
      </c>
      <c r="F20">
        <v>0.45</v>
      </c>
      <c r="G20" t="str">
        <v>Service</v>
      </c>
      <c r="H20" t="str">
        <v>Social event</v>
      </c>
    </row>
    <row r="23" spans="1:8" ht="18.75" x14ac:dyDescent="0.3">
      <c r="A23" s="8" t="s">
        <v>121</v>
      </c>
    </row>
    <row r="24" spans="1:8" x14ac:dyDescent="0.25">
      <c r="A24" t="e" cm="1" vm="11">
        <f t="array" ref="A24">_xlfn._xlws.PY(1,1)</f>
        <v>#VALUE!</v>
      </c>
    </row>
    <row r="26" spans="1:8" ht="15.75" x14ac:dyDescent="0.25">
      <c r="A26" s="9" t="s">
        <v>120</v>
      </c>
    </row>
    <row r="27" spans="1:8" x14ac:dyDescent="0.25">
      <c r="A27" t="str" cm="1">
        <f t="array" ref="A27:C38">IFERROR(_FV(A24,"arrayPreview"),_xlfn._DF_Python_str(A24))</f>
        <v/>
      </c>
      <c r="B27" t="str">
        <v>Event Type Count</v>
      </c>
      <c r="C27" t="str">
        <v>Subtype Count</v>
      </c>
    </row>
    <row r="28" spans="1:8" x14ac:dyDescent="0.25">
      <c r="A28" t="str">
        <v>Baby shower</v>
      </c>
      <c r="B28">
        <v>1</v>
      </c>
      <c r="C28" vm="12">
        <v>0</v>
      </c>
    </row>
    <row r="29" spans="1:8" x14ac:dyDescent="0.25">
      <c r="A29" t="str">
        <v>Birthday</v>
      </c>
      <c r="B29">
        <v>1</v>
      </c>
      <c r="C29" vm="12">
        <v>0</v>
      </c>
    </row>
    <row r="30" spans="1:8" x14ac:dyDescent="0.25">
      <c r="A30" t="str">
        <v>Bridal Shower</v>
      </c>
      <c r="B30">
        <v>1</v>
      </c>
      <c r="C30" vm="12">
        <v>0</v>
      </c>
    </row>
    <row r="31" spans="1:8" x14ac:dyDescent="0.25">
      <c r="A31" t="str">
        <v>Corporate Dinner</v>
      </c>
      <c r="B31">
        <v>1</v>
      </c>
      <c r="C31" vm="12">
        <v>0</v>
      </c>
    </row>
    <row r="32" spans="1:8" x14ac:dyDescent="0.25">
      <c r="A32" t="str">
        <v>Corporate event</v>
      </c>
      <c r="B32" vm="12">
        <v>0</v>
      </c>
      <c r="C32">
        <v>13</v>
      </c>
    </row>
    <row r="33" spans="1:5" x14ac:dyDescent="0.25">
      <c r="A33" t="str">
        <v>...</v>
      </c>
      <c r="B33" t="str">
        <v>...</v>
      </c>
      <c r="C33" t="str">
        <v>...</v>
      </c>
    </row>
    <row r="34" spans="1:5" x14ac:dyDescent="0.25">
      <c r="A34" t="str">
        <v>Social event</v>
      </c>
      <c r="B34" vm="12">
        <v>0</v>
      </c>
      <c r="C34">
        <v>3</v>
      </c>
    </row>
    <row r="35" spans="1:5" x14ac:dyDescent="0.25">
      <c r="A35" t="str">
        <v>Training</v>
      </c>
      <c r="B35">
        <v>2</v>
      </c>
      <c r="C35" vm="12">
        <v>0</v>
      </c>
    </row>
    <row r="36" spans="1:5" x14ac:dyDescent="0.25">
      <c r="A36" t="str">
        <v xml:space="preserve">Training </v>
      </c>
      <c r="B36">
        <v>1</v>
      </c>
      <c r="C36" vm="12">
        <v>0</v>
      </c>
    </row>
    <row r="37" spans="1:5" x14ac:dyDescent="0.25">
      <c r="A37" t="str">
        <v>Wedding</v>
      </c>
      <c r="B37">
        <v>1</v>
      </c>
      <c r="C37" vm="12">
        <v>0</v>
      </c>
    </row>
    <row r="38" spans="1:5" x14ac:dyDescent="0.25">
      <c r="A38" t="str">
        <v>Workshop</v>
      </c>
      <c r="B38">
        <v>2</v>
      </c>
      <c r="C38" vm="12">
        <v>0</v>
      </c>
    </row>
    <row r="41" spans="1:5" ht="18.75" x14ac:dyDescent="0.3">
      <c r="A41" s="8" t="s">
        <v>122</v>
      </c>
    </row>
    <row r="42" spans="1:5" x14ac:dyDescent="0.25">
      <c r="A42" t="e" cm="1" vm="13">
        <f t="array" ref="A42">_xlfn._xlws.PY(2,1)</f>
        <v>#VALUE!</v>
      </c>
    </row>
    <row r="44" spans="1:5" ht="15.75" x14ac:dyDescent="0.25">
      <c r="A44" s="9" t="s">
        <v>120</v>
      </c>
    </row>
    <row r="45" spans="1:5" x14ac:dyDescent="0.25">
      <c r="A45" t="str" cm="1">
        <f t="array" ref="A45:E56">IFERROR(_FV(A42,"arrayPreview"),_xlfn._DF_Python_str(A42))</f>
        <v/>
      </c>
      <c r="B45" t="str">
        <v>Event Type</v>
      </c>
      <c r="C45" t="str">
        <v>Total Price</v>
      </c>
      <c r="D45" t="str">
        <v>Remaining Payment</v>
      </c>
      <c r="E45" t="str">
        <v>Payment Due Date</v>
      </c>
    </row>
    <row r="46" spans="1:5" x14ac:dyDescent="0.25">
      <c r="A46">
        <v>0</v>
      </c>
      <c r="B46" t="str">
        <v>Wedding</v>
      </c>
      <c r="C46">
        <v>2400</v>
      </c>
      <c r="D46">
        <v>1920</v>
      </c>
      <c r="E46" vm="14">
        <v>45817</v>
      </c>
    </row>
    <row r="47" spans="1:5" x14ac:dyDescent="0.25">
      <c r="A47">
        <v>1</v>
      </c>
      <c r="B47" t="str">
        <v>Corporate Dinner</v>
      </c>
      <c r="C47">
        <v>3200</v>
      </c>
      <c r="D47">
        <v>2240</v>
      </c>
      <c r="E47" vm="15">
        <v>45818</v>
      </c>
    </row>
    <row r="48" spans="1:5" x14ac:dyDescent="0.25">
      <c r="A48">
        <v>2</v>
      </c>
      <c r="B48" t="str">
        <v>Birthday</v>
      </c>
      <c r="C48">
        <v>1800</v>
      </c>
      <c r="D48">
        <v>1440</v>
      </c>
      <c r="E48" vm="16">
        <v>45819</v>
      </c>
    </row>
    <row r="49" spans="1:5" x14ac:dyDescent="0.25">
      <c r="A49">
        <v>3</v>
      </c>
      <c r="B49" t="str">
        <v>Workshop</v>
      </c>
      <c r="C49">
        <v>2500</v>
      </c>
      <c r="D49">
        <v>1750</v>
      </c>
      <c r="E49" vm="17">
        <v>45820</v>
      </c>
    </row>
    <row r="50" spans="1:5" x14ac:dyDescent="0.25">
      <c r="A50">
        <v>4</v>
      </c>
      <c r="B50" t="str">
        <v>Product Launch</v>
      </c>
      <c r="C50">
        <v>4100</v>
      </c>
      <c r="D50">
        <v>2870</v>
      </c>
      <c r="E50" vm="18">
        <v>45821</v>
      </c>
    </row>
    <row r="51" spans="1:5" x14ac:dyDescent="0.25">
      <c r="A51" t="str">
        <v>...</v>
      </c>
      <c r="B51" t="str">
        <v>...</v>
      </c>
      <c r="C51" t="str">
        <v>...</v>
      </c>
      <c r="D51" t="str">
        <v>...</v>
      </c>
      <c r="E51" t="str">
        <v>...</v>
      </c>
    </row>
    <row r="52" spans="1:5" x14ac:dyDescent="0.25">
      <c r="A52">
        <v>16</v>
      </c>
      <c r="B52" t="str">
        <v>Baby shower</v>
      </c>
      <c r="C52">
        <v>1500</v>
      </c>
      <c r="D52">
        <v>1200</v>
      </c>
      <c r="E52" vm="19">
        <v>45837</v>
      </c>
    </row>
    <row r="53" spans="1:5" x14ac:dyDescent="0.25">
      <c r="A53">
        <v>17</v>
      </c>
      <c r="B53" t="str">
        <v>Garage Sale</v>
      </c>
      <c r="C53">
        <v>3000</v>
      </c>
      <c r="D53">
        <v>3000</v>
      </c>
      <c r="E53" vm="20">
        <v>45841</v>
      </c>
    </row>
    <row r="54" spans="1:5" x14ac:dyDescent="0.25">
      <c r="A54">
        <v>18</v>
      </c>
      <c r="B54" t="str">
        <v>Training</v>
      </c>
      <c r="C54">
        <v>2500</v>
      </c>
      <c r="D54">
        <v>1750</v>
      </c>
      <c r="E54" vm="21">
        <v>45838</v>
      </c>
    </row>
    <row r="55" spans="1:5" x14ac:dyDescent="0.25">
      <c r="A55">
        <v>19</v>
      </c>
      <c r="B55" t="str">
        <v>Exhibition</v>
      </c>
      <c r="C55">
        <v>3400</v>
      </c>
      <c r="D55">
        <v>2380</v>
      </c>
      <c r="E55" vm="20">
        <v>45841</v>
      </c>
    </row>
    <row r="56" spans="1:5" x14ac:dyDescent="0.25">
      <c r="A56">
        <v>20</v>
      </c>
      <c r="B56" t="str">
        <v>Fundraiser</v>
      </c>
      <c r="C56">
        <v>2000</v>
      </c>
      <c r="D56">
        <v>2000</v>
      </c>
      <c r="E56" vm="22">
        <v>45845</v>
      </c>
    </row>
    <row r="59" spans="1:5" ht="18.75" x14ac:dyDescent="0.3">
      <c r="A59" s="8" t="s">
        <v>123</v>
      </c>
    </row>
    <row r="60" spans="1:5" x14ac:dyDescent="0.25">
      <c r="A60" t="e" cm="1" vm="23">
        <f t="array" ref="A60">_xlfn._xlws.PY(3,1)</f>
        <v>#VALUE!</v>
      </c>
    </row>
    <row r="62" spans="1:5" ht="15.75" x14ac:dyDescent="0.25">
      <c r="A62" s="9" t="s">
        <v>120</v>
      </c>
    </row>
    <row r="63" spans="1:5" x14ac:dyDescent="0.25">
      <c r="A63" t="str" cm="1">
        <f t="array" ref="A63:B74">IFERROR(_FV(A60,"arrayPreview"),_xlfn._DF_Python_str(A60))</f>
        <v>Payment Due Date</v>
      </c>
      <c r="B63" t="str">
        <v>Remaining Payment</v>
      </c>
    </row>
    <row r="64" spans="1:5" x14ac:dyDescent="0.25">
      <c r="A64" vm="14">
        <v>45817</v>
      </c>
      <c r="B64">
        <v>1920</v>
      </c>
    </row>
    <row r="65" spans="1:2" x14ac:dyDescent="0.25">
      <c r="A65" vm="15">
        <v>45818</v>
      </c>
      <c r="B65">
        <v>2240</v>
      </c>
    </row>
    <row r="66" spans="1:2" x14ac:dyDescent="0.25">
      <c r="A66" vm="16">
        <v>45819</v>
      </c>
      <c r="B66">
        <v>1440</v>
      </c>
    </row>
    <row r="67" spans="1:2" x14ac:dyDescent="0.25">
      <c r="A67" vm="17">
        <v>45820</v>
      </c>
      <c r="B67">
        <v>1750</v>
      </c>
    </row>
    <row r="68" spans="1:2" x14ac:dyDescent="0.25">
      <c r="A68" vm="18">
        <v>45821</v>
      </c>
      <c r="B68">
        <v>4950</v>
      </c>
    </row>
    <row r="69" spans="1:2" x14ac:dyDescent="0.25">
      <c r="A69" t="str">
        <v>...</v>
      </c>
      <c r="B69" t="str">
        <v>...</v>
      </c>
    </row>
    <row r="70" spans="1:2" x14ac:dyDescent="0.25">
      <c r="A70" vm="8">
        <v>45831</v>
      </c>
      <c r="B70">
        <v>2380</v>
      </c>
    </row>
    <row r="71" spans="1:2" x14ac:dyDescent="0.25">
      <c r="A71" vm="24">
        <v>45832</v>
      </c>
      <c r="B71">
        <v>1540</v>
      </c>
    </row>
    <row r="72" spans="1:2" x14ac:dyDescent="0.25">
      <c r="A72" vm="25">
        <v>45836</v>
      </c>
      <c r="B72">
        <v>1470</v>
      </c>
    </row>
    <row r="73" spans="1:2" x14ac:dyDescent="0.25">
      <c r="A73" vm="19">
        <v>45837</v>
      </c>
      <c r="B73">
        <v>1200</v>
      </c>
    </row>
    <row r="74" spans="1:2" x14ac:dyDescent="0.25">
      <c r="A74" vm="21">
        <v>45838</v>
      </c>
      <c r="B74">
        <v>5350</v>
      </c>
    </row>
    <row r="77" spans="1:2" ht="18.75" x14ac:dyDescent="0.3">
      <c r="A77" s="8" t="s">
        <v>124</v>
      </c>
    </row>
    <row r="78" spans="1:2" x14ac:dyDescent="0.25">
      <c r="A78" t="e" cm="1" vm="26">
        <f t="array" ref="A78">_xlfn._xlws.PY(4,1)</f>
        <v>#VALUE!</v>
      </c>
    </row>
    <row r="97" spans="1:3" ht="18.75" x14ac:dyDescent="0.3">
      <c r="A97" s="8" t="s">
        <v>125</v>
      </c>
    </row>
    <row r="98" spans="1:3" x14ac:dyDescent="0.25">
      <c r="A98" t="e" cm="1" vm="27">
        <f t="array" ref="A98">_xlfn._xlws.PY(5,1)</f>
        <v>#VALUE!</v>
      </c>
    </row>
    <row r="100" spans="1:3" ht="15.75" x14ac:dyDescent="0.25">
      <c r="A100" s="9" t="s">
        <v>120</v>
      </c>
    </row>
    <row r="101" spans="1:3" x14ac:dyDescent="0.25">
      <c r="A101" t="str" cm="1">
        <f t="array" ref="A101">IFERROR(_FV(A98,"arrayPreview"),_xlfn._DF_Python_str(A98))</f>
        <v>{'Event Type with Highest Average Profit': 'Fashion Show', 'Subtype with Highest Total Revenue': 'Corporate event', 'Most Frequent Client': 'Ian Wood'}</v>
      </c>
    </row>
    <row r="103" spans="1:3" ht="18.75" x14ac:dyDescent="0.3">
      <c r="A103" s="11" t="s">
        <v>128</v>
      </c>
      <c r="B103" s="12"/>
      <c r="C103" s="12"/>
    </row>
    <row r="104" spans="1:3" x14ac:dyDescent="0.25">
      <c r="A104" t="e" cm="1" vm="28">
        <f t="array" ref="A104">_xlfn._xlws.PY(6,1)</f>
        <v>#VALUE!</v>
      </c>
    </row>
    <row r="106" spans="1:3" ht="15.75" x14ac:dyDescent="0.25">
      <c r="A106" s="9" t="s">
        <v>120</v>
      </c>
    </row>
    <row r="107" spans="1:3" x14ac:dyDescent="0.25">
      <c r="A107" t="str" cm="1">
        <f t="array" ref="A107:C110">IFERROR(_FV(A104,"arrayPreview"),_xlfn._DF_Python_str(A104))</f>
        <v/>
      </c>
      <c r="B107" t="str">
        <v>Subtype</v>
      </c>
      <c r="C107" t="str">
        <v>Total Price</v>
      </c>
    </row>
    <row r="108" spans="1:3" x14ac:dyDescent="0.25">
      <c r="A108">
        <v>0</v>
      </c>
      <c r="B108" t="str">
        <v>Corporate event</v>
      </c>
      <c r="C108">
        <v>38700</v>
      </c>
    </row>
    <row r="109" spans="1:3" x14ac:dyDescent="0.25">
      <c r="A109">
        <v>1</v>
      </c>
      <c r="B109" t="str">
        <v>Intimate event</v>
      </c>
      <c r="C109">
        <v>10000</v>
      </c>
    </row>
    <row r="110" spans="1:3" x14ac:dyDescent="0.25">
      <c r="A110">
        <v>2</v>
      </c>
      <c r="B110" t="str">
        <v>Social event</v>
      </c>
      <c r="C110">
        <v>8600</v>
      </c>
    </row>
    <row r="113" spans="1:2" ht="18.75" x14ac:dyDescent="0.3">
      <c r="A113" s="11" t="s">
        <v>129</v>
      </c>
      <c r="B113" s="12"/>
    </row>
    <row r="114" spans="1:2" x14ac:dyDescent="0.25">
      <c r="A114" t="str" cm="1" vm="29">
        <f t="array" ref="A114">_xlfn._xlws.PY(7,1)</f>
        <v>Ian Wood</v>
      </c>
    </row>
  </sheetData>
  <pageMargins left="0.7" right="0.7" top="0.75" bottom="0.75" header="0.3" footer="0.3"/>
  <customProperties>
    <customPr name="isPythonAnalysisSheet" r:id="rId1"/>
  </customPropertie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BB5F-575A-4CD7-8DF1-2E6F1B61DDC5}">
  <dimension ref="A1:H24"/>
  <sheetViews>
    <sheetView tabSelected="1" topLeftCell="A3" workbookViewId="0">
      <selection activeCell="G11" sqref="G11"/>
    </sheetView>
  </sheetViews>
  <sheetFormatPr defaultRowHeight="15" x14ac:dyDescent="0.25"/>
  <cols>
    <col min="1" max="1" width="28.85546875" customWidth="1"/>
    <col min="2" max="2" width="10.28515625" bestFit="1" customWidth="1"/>
    <col min="3" max="3" width="19" bestFit="1" customWidth="1"/>
    <col min="4" max="4" width="20.7109375" customWidth="1"/>
  </cols>
  <sheetData>
    <row r="1" spans="1:8" ht="18.75" x14ac:dyDescent="0.3">
      <c r="A1" s="10" t="s">
        <v>122</v>
      </c>
    </row>
    <row r="3" spans="1:8" x14ac:dyDescent="0.25">
      <c r="A3" t="str" cm="1">
        <f t="array" ref="A3:D24">_xlfn._xlws.PY(8,0,Analysis1!$A$42)</f>
        <v>Event Type</v>
      </c>
      <c r="B3" t="str">
        <v>Total Price</v>
      </c>
      <c r="C3" t="str">
        <v>Remaining Payment</v>
      </c>
      <c r="D3" t="str">
        <v>Payment Due Date</v>
      </c>
    </row>
    <row r="4" spans="1:8" x14ac:dyDescent="0.25">
      <c r="A4" t="str">
        <v>Wedding</v>
      </c>
      <c r="B4">
        <v>2400</v>
      </c>
      <c r="C4">
        <v>1920</v>
      </c>
      <c r="D4" vm="14">
        <v>45817</v>
      </c>
    </row>
    <row r="5" spans="1:8" x14ac:dyDescent="0.25">
      <c r="A5" t="str">
        <v>Corporate Dinner</v>
      </c>
      <c r="B5">
        <v>3200</v>
      </c>
      <c r="C5">
        <v>2240</v>
      </c>
      <c r="D5" vm="15">
        <v>45818</v>
      </c>
    </row>
    <row r="6" spans="1:8" x14ac:dyDescent="0.25">
      <c r="A6" t="str">
        <v>Birthday</v>
      </c>
      <c r="B6">
        <v>1800</v>
      </c>
      <c r="C6">
        <v>1440</v>
      </c>
      <c r="D6" vm="16">
        <v>45819</v>
      </c>
    </row>
    <row r="7" spans="1:8" x14ac:dyDescent="0.25">
      <c r="A7" t="str">
        <v>Workshop</v>
      </c>
      <c r="B7">
        <v>2500</v>
      </c>
      <c r="C7">
        <v>1750</v>
      </c>
      <c r="D7" vm="17">
        <v>45820</v>
      </c>
    </row>
    <row r="8" spans="1:8" x14ac:dyDescent="0.25">
      <c r="A8" t="str">
        <v>Product Launch</v>
      </c>
      <c r="B8">
        <v>4100</v>
      </c>
      <c r="C8">
        <v>2870</v>
      </c>
      <c r="D8" vm="18">
        <v>45821</v>
      </c>
    </row>
    <row r="9" spans="1:8" x14ac:dyDescent="0.25">
      <c r="A9" t="str">
        <v>Engagement</v>
      </c>
      <c r="B9">
        <v>2600</v>
      </c>
      <c r="C9">
        <v>2080</v>
      </c>
      <c r="D9" vm="18">
        <v>45821</v>
      </c>
    </row>
    <row r="10" spans="1:8" x14ac:dyDescent="0.25">
      <c r="A10" t="str">
        <v>Workshop</v>
      </c>
      <c r="B10">
        <v>3000</v>
      </c>
      <c r="C10">
        <v>2100</v>
      </c>
      <c r="D10" vm="30">
        <v>45823</v>
      </c>
    </row>
    <row r="11" spans="1:8" x14ac:dyDescent="0.25">
      <c r="A11" t="str">
        <v>Bridal Shower</v>
      </c>
      <c r="B11">
        <v>1700</v>
      </c>
      <c r="C11">
        <v>1360</v>
      </c>
      <c r="D11" vm="31">
        <v>45825</v>
      </c>
    </row>
    <row r="12" spans="1:8" x14ac:dyDescent="0.25">
      <c r="A12" t="str">
        <v>Training</v>
      </c>
      <c r="B12">
        <v>2100</v>
      </c>
      <c r="C12">
        <v>1470</v>
      </c>
      <c r="D12" vm="32">
        <v>45827</v>
      </c>
    </row>
    <row r="13" spans="1:8" x14ac:dyDescent="0.25">
      <c r="A13" t="str">
        <v>Fashion Show</v>
      </c>
      <c r="B13">
        <v>2900</v>
      </c>
      <c r="C13">
        <v>2029.9999999999998</v>
      </c>
      <c r="D13" vm="32">
        <v>45827</v>
      </c>
    </row>
    <row r="14" spans="1:8" x14ac:dyDescent="0.25">
      <c r="A14" t="str">
        <v>Seminar</v>
      </c>
      <c r="B14">
        <v>2300</v>
      </c>
      <c r="C14">
        <v>1610</v>
      </c>
      <c r="D14" vm="33">
        <v>45828</v>
      </c>
    </row>
    <row r="15" spans="1:8" x14ac:dyDescent="0.25">
      <c r="A15" t="str">
        <v>Music Festival</v>
      </c>
      <c r="B15">
        <v>5000</v>
      </c>
      <c r="C15">
        <v>3500</v>
      </c>
      <c r="D15" vm="7">
        <v>45830</v>
      </c>
    </row>
    <row r="16" spans="1:8" x14ac:dyDescent="0.25">
      <c r="A16" t="str">
        <v>Exhibition</v>
      </c>
      <c r="B16">
        <v>3400</v>
      </c>
      <c r="C16">
        <v>2380</v>
      </c>
      <c r="D16" vm="8">
        <v>45831</v>
      </c>
      <c r="H16" s="13"/>
    </row>
    <row r="17" spans="1:4" x14ac:dyDescent="0.25">
      <c r="A17" t="str">
        <v>Networking Event</v>
      </c>
      <c r="B17">
        <v>2200</v>
      </c>
      <c r="C17">
        <v>1540</v>
      </c>
      <c r="D17" vm="24">
        <v>45832</v>
      </c>
    </row>
    <row r="18" spans="1:4" x14ac:dyDescent="0.25">
      <c r="A18" t="str">
        <v>Fundraiser</v>
      </c>
      <c r="B18">
        <v>3600</v>
      </c>
      <c r="C18">
        <v>3600</v>
      </c>
      <c r="D18" vm="21">
        <v>45838</v>
      </c>
    </row>
    <row r="19" spans="1:4" x14ac:dyDescent="0.25">
      <c r="A19" t="str">
        <v xml:space="preserve">Training </v>
      </c>
      <c r="B19">
        <v>2100</v>
      </c>
      <c r="C19">
        <v>1470</v>
      </c>
      <c r="D19" vm="25">
        <v>45836</v>
      </c>
    </row>
    <row r="20" spans="1:4" x14ac:dyDescent="0.25">
      <c r="A20" t="str">
        <v>Baby shower</v>
      </c>
      <c r="B20">
        <v>1500</v>
      </c>
      <c r="C20">
        <v>1200</v>
      </c>
      <c r="D20" vm="19">
        <v>45837</v>
      </c>
    </row>
    <row r="21" spans="1:4" x14ac:dyDescent="0.25">
      <c r="A21" t="str">
        <v>Garage Sale</v>
      </c>
      <c r="B21">
        <v>3000</v>
      </c>
      <c r="C21">
        <v>3000</v>
      </c>
      <c r="D21" vm="20">
        <v>45841</v>
      </c>
    </row>
    <row r="22" spans="1:4" x14ac:dyDescent="0.25">
      <c r="A22" t="str">
        <v>Training</v>
      </c>
      <c r="B22">
        <v>2500</v>
      </c>
      <c r="C22">
        <v>1750</v>
      </c>
      <c r="D22" vm="21">
        <v>45838</v>
      </c>
    </row>
    <row r="23" spans="1:4" x14ac:dyDescent="0.25">
      <c r="A23" t="str">
        <v>Exhibition</v>
      </c>
      <c r="B23">
        <v>3400</v>
      </c>
      <c r="C23">
        <v>2380</v>
      </c>
      <c r="D23" vm="20">
        <v>45841</v>
      </c>
    </row>
    <row r="24" spans="1:4" x14ac:dyDescent="0.25">
      <c r="A24" t="str">
        <v>Fundraiser</v>
      </c>
      <c r="B24">
        <v>2000</v>
      </c>
      <c r="C24">
        <v>2000</v>
      </c>
      <c r="D24" vm="22">
        <v>45845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81E6-1FE2-4821-8B74-F9F5A1C9A1E8}">
  <dimension ref="A1:B3"/>
  <sheetViews>
    <sheetView workbookViewId="0">
      <selection activeCell="B4" sqref="B4"/>
    </sheetView>
  </sheetViews>
  <sheetFormatPr defaultRowHeight="15" x14ac:dyDescent="0.25"/>
  <sheetData>
    <row r="1" spans="1:2" ht="18.75" x14ac:dyDescent="0.3">
      <c r="A1" s="10" t="s">
        <v>125</v>
      </c>
    </row>
    <row r="3" spans="1:2" x14ac:dyDescent="0.25">
      <c r="A3" t="e" cm="1" vm="34">
        <f t="array" ref="A3">_xlfn._xlws.PY(8,0,Analysis1!$A$98)</f>
        <v>#VALUE!</v>
      </c>
      <c r="B3" t="str" cm="1">
        <f t="array" ref="B3">_FV(A3,"Event Type with Highest Average Profit",TRUE)</f>
        <v>Fashion Show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Inventory_Data</vt:lpstr>
      <vt:lpstr>Service_Transactions</vt:lpstr>
      <vt:lpstr>Payment_Terms</vt:lpstr>
      <vt:lpstr>Analysis1</vt:lpstr>
      <vt:lpstr>Detail1</vt:lpstr>
      <vt:lpstr>Detail2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Ayesha Younis</cp:lastModifiedBy>
  <cp:revision/>
  <dcterms:created xsi:type="dcterms:W3CDTF">2025-06-08T06:46:56Z</dcterms:created>
  <dcterms:modified xsi:type="dcterms:W3CDTF">2025-06-13T13:44:45Z</dcterms:modified>
  <cp:category/>
  <cp:contentStatus/>
</cp:coreProperties>
</file>